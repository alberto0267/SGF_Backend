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orto " sheetId="1" r:id="rId5"/>
    <sheet state="visible" name="fragata 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30">
      <text>
        <t xml:space="preserve">faltaban 2 euros en los 200</t>
      </text>
    </comment>
    <comment authorId="0" ref="F356">
      <text>
        <t xml:space="preserve">faltaban 2 euros en los 200</t>
      </text>
    </comment>
    <comment authorId="0" ref="F34">
      <text>
        <t xml:space="preserve">faltaban 2 euros en los 200</t>
      </text>
    </comment>
    <comment authorId="0" ref="F160">
      <text>
        <t xml:space="preserve">faltaban 2 euros en los 200</t>
      </text>
    </comment>
    <comment authorId="0" ref="F286">
      <text>
        <t xml:space="preserve">faltaban 2 euros en los 200</t>
      </text>
    </comment>
    <comment authorId="0" ref="F412">
      <text>
        <t xml:space="preserve">faltaban 2 euros en los 200</t>
      </text>
    </comment>
    <comment authorId="0" ref="F90">
      <text>
        <t xml:space="preserve">faltaban 2 euros en los 200</t>
      </text>
    </comment>
    <comment authorId="0" ref="F342">
      <text>
        <t xml:space="preserve">faltaban 2 euros en los 200</t>
      </text>
    </comment>
    <comment authorId="0" ref="F20">
      <text>
        <t xml:space="preserve">faltaban 2 euros en los 200</t>
      </text>
    </comment>
    <comment authorId="0" ref="F146">
      <text>
        <t xml:space="preserve">faltaban 2 euros en los 200</t>
      </text>
    </comment>
    <comment authorId="0" ref="F272">
      <text>
        <t xml:space="preserve">faltaban 2 euros en los 200</t>
      </text>
    </comment>
    <comment authorId="0" ref="F398">
      <text>
        <t xml:space="preserve">faltaban 2 euros en los 200</t>
      </text>
    </comment>
    <comment authorId="0" ref="F76">
      <text>
        <t xml:space="preserve">faltaban 2 euros en los 200</t>
      </text>
    </comment>
    <comment authorId="0" ref="F328">
      <text>
        <t xml:space="preserve">faltaban 2 euros en los 200</t>
      </text>
    </comment>
    <comment authorId="0" ref="F6">
      <text>
        <t xml:space="preserve">faltaban 2 euros en los 200</t>
      </text>
    </comment>
    <comment authorId="0" ref="F132">
      <text>
        <t xml:space="preserve">faltaban 2 euros en los 200</t>
      </text>
    </comment>
    <comment authorId="0" ref="F258">
      <text>
        <t xml:space="preserve">faltaban 2 euros en los 200</t>
      </text>
    </comment>
    <comment authorId="0" ref="F62">
      <text>
        <t xml:space="preserve">faltaban 2 euros en los 200</t>
      </text>
    </comment>
    <comment authorId="0" ref="F314">
      <text>
        <t xml:space="preserve">faltaban 2 euros en los 200</t>
      </text>
    </comment>
    <comment authorId="0" ref="F118">
      <text>
        <t xml:space="preserve">faltaban 2 euros en los 200</t>
      </text>
    </comment>
    <comment authorId="0" ref="F244">
      <text>
        <t xml:space="preserve">faltaban 2 euros en los 200</t>
      </text>
    </comment>
    <comment authorId="0" ref="F370">
      <text>
        <t xml:space="preserve">faltaban 2 euros en los 200</t>
      </text>
    </comment>
    <comment authorId="0" ref="F48">
      <text>
        <t xml:space="preserve">faltaban 2 euros en los 200</t>
      </text>
    </comment>
    <comment authorId="0" ref="F174">
      <text>
        <t xml:space="preserve">faltaban 2 euros en los 200</t>
      </text>
    </comment>
    <comment authorId="0" ref="F300">
      <text>
        <t xml:space="preserve">faltaban 2 euros en los 200</t>
      </text>
    </comment>
    <comment authorId="0" ref="F104">
      <text>
        <t xml:space="preserve">faltaban 2 euros en los 200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30">
      <text>
        <t xml:space="preserve">faltaban 2 euros en los 200</t>
      </text>
    </comment>
    <comment authorId="0" ref="F356">
      <text>
        <t xml:space="preserve">faltaban 2 euros en los 200</t>
      </text>
    </comment>
    <comment authorId="0" ref="F34">
      <text>
        <t xml:space="preserve">faltaban 2 euros en los 200</t>
      </text>
    </comment>
    <comment authorId="0" ref="F160">
      <text>
        <t xml:space="preserve">faltaban 2 euros en los 200</t>
      </text>
    </comment>
    <comment authorId="0" ref="F286">
      <text>
        <t xml:space="preserve">faltaban 2 euros en los 200</t>
      </text>
    </comment>
    <comment authorId="0" ref="F412">
      <text>
        <t xml:space="preserve">faltaban 2 euros en los 200</t>
      </text>
    </comment>
    <comment authorId="0" ref="F90">
      <text>
        <t xml:space="preserve">faltaban 2 euros en los 200</t>
      </text>
    </comment>
    <comment authorId="0" ref="F342">
      <text>
        <t xml:space="preserve">faltaban 2 euros en los 200</t>
      </text>
    </comment>
    <comment authorId="0" ref="F20">
      <text>
        <t xml:space="preserve">faltaban 2 euros en los 200</t>
      </text>
    </comment>
    <comment authorId="0" ref="F146">
      <text>
        <t xml:space="preserve">faltaban 2 euros en los 200</t>
      </text>
    </comment>
    <comment authorId="0" ref="F272">
      <text>
        <t xml:space="preserve">faltaban 2 euros en los 200</t>
      </text>
    </comment>
    <comment authorId="0" ref="F398">
      <text>
        <t xml:space="preserve">faltaban 2 euros en los 200</t>
      </text>
    </comment>
    <comment authorId="0" ref="F76">
      <text>
        <t xml:space="preserve">faltaban 2 euros en los 200</t>
      </text>
    </comment>
    <comment authorId="0" ref="F328">
      <text>
        <t xml:space="preserve">faltaban 2 euros en los 200</t>
      </text>
    </comment>
    <comment authorId="0" ref="F6">
      <text>
        <t xml:space="preserve">faltaban 2 euros en los 200</t>
      </text>
    </comment>
    <comment authorId="0" ref="F132">
      <text>
        <t xml:space="preserve">faltaban 2 euros en los 200</t>
      </text>
    </comment>
    <comment authorId="0" ref="F258">
      <text>
        <t xml:space="preserve">faltaban 2 euros en los 200</t>
      </text>
    </comment>
    <comment authorId="0" ref="F62">
      <text>
        <t xml:space="preserve">faltaban 2 euros en los 200</t>
      </text>
    </comment>
    <comment authorId="0" ref="F314">
      <text>
        <t xml:space="preserve">faltaban 2 euros en los 200</t>
      </text>
    </comment>
    <comment authorId="0" ref="F118">
      <text>
        <t xml:space="preserve">faltaban 2 euros en los 200</t>
      </text>
    </comment>
    <comment authorId="0" ref="F244">
      <text>
        <t xml:space="preserve">faltaban 2 euros en los 200</t>
      </text>
    </comment>
    <comment authorId="0" ref="F370">
      <text>
        <t xml:space="preserve">faltaban 2 euros en los 200</t>
      </text>
    </comment>
    <comment authorId="0" ref="F48">
      <text>
        <t xml:space="preserve">faltaban 2 euros en los 200</t>
      </text>
    </comment>
    <comment authorId="0" ref="F174">
      <text>
        <t xml:space="preserve">faltaban 2 euros en los 200</t>
      </text>
    </comment>
    <comment authorId="0" ref="F300">
      <text>
        <t xml:space="preserve">faltaban 2 euros en los 200</t>
      </text>
    </comment>
    <comment authorId="0" ref="F104">
      <text>
        <t xml:space="preserve">faltaban 2 euros en los 200</t>
      </text>
    </comment>
  </commentList>
</comments>
</file>

<file path=xl/sharedStrings.xml><?xml version="1.0" encoding="utf-8"?>
<sst xmlns="http://schemas.openxmlformats.org/spreadsheetml/2006/main" count="725" uniqueCount="35">
  <si>
    <t>fecha</t>
  </si>
  <si>
    <t>efectivo</t>
  </si>
  <si>
    <t>n° ret</t>
  </si>
  <si>
    <t xml:space="preserve">datáfono </t>
  </si>
  <si>
    <t xml:space="preserve">c. tarjeta </t>
  </si>
  <si>
    <t>dif arqueo ef</t>
  </si>
  <si>
    <t>dif datáfono</t>
  </si>
  <si>
    <t xml:space="preserve">dif total </t>
  </si>
  <si>
    <t xml:space="preserve">retiradas </t>
  </si>
  <si>
    <t>t ventas</t>
  </si>
  <si>
    <t xml:space="preserve">t efectivo </t>
  </si>
  <si>
    <t>Mónica</t>
  </si>
  <si>
    <t xml:space="preserve">Ricardo </t>
  </si>
  <si>
    <t>Dani</t>
  </si>
  <si>
    <t>rosa</t>
  </si>
  <si>
    <t xml:space="preserve">Sol </t>
  </si>
  <si>
    <t xml:space="preserve">Gloria </t>
  </si>
  <si>
    <t xml:space="preserve">Katherine </t>
  </si>
  <si>
    <t xml:space="preserve">Luisa </t>
  </si>
  <si>
    <t>Adriana</t>
  </si>
  <si>
    <t>Andrea</t>
  </si>
  <si>
    <t>diana</t>
  </si>
  <si>
    <t>Miriam</t>
  </si>
  <si>
    <t>Kevin</t>
  </si>
  <si>
    <t>Erick</t>
  </si>
  <si>
    <t>Carlos</t>
  </si>
  <si>
    <t>Tathy</t>
  </si>
  <si>
    <t>RESUMEN</t>
  </si>
  <si>
    <t>t. ventas</t>
  </si>
  <si>
    <t xml:space="preserve">faltantes </t>
  </si>
  <si>
    <t>caja cambio</t>
  </si>
  <si>
    <t xml:space="preserve">Daniel  </t>
  </si>
  <si>
    <t xml:space="preserve">Lisbet    </t>
  </si>
  <si>
    <t xml:space="preserve">Héctor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</si>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</sst>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164" xfId="0" applyAlignment="1" applyFill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9.25"/>
    <col customWidth="1" min="3" max="3" width="6.63"/>
    <col customWidth="1" min="4" max="4" width="10.0"/>
    <col customWidth="1" min="5" max="5" width="7.63"/>
    <col customWidth="1" min="6" max="6" width="10.0"/>
    <col customWidth="1" min="7" max="7" width="9.63"/>
    <col customWidth="1" min="8" max="8" width="7.25"/>
    <col customWidth="1" min="9" max="9" width="7.63"/>
    <col customWidth="1" min="10" max="10" width="8.63"/>
    <col customWidth="1" min="11" max="11" width="8.0"/>
  </cols>
  <sheetData>
    <row r="2">
      <c r="A2" s="1" t="s">
        <v>0</v>
      </c>
      <c r="B2" s="2">
        <v>45992.0</v>
      </c>
    </row>
    <row r="3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s="3" t="s">
        <v>12</v>
      </c>
      <c r="B4" s="5"/>
      <c r="C4" s="4"/>
      <c r="D4" s="4"/>
      <c r="E4" s="4"/>
      <c r="F4" s="4"/>
      <c r="G4" s="6">
        <f t="shared" ref="G4:G12" si="1">D4-E4</f>
        <v>0</v>
      </c>
      <c r="H4" s="6">
        <f t="shared" ref="H4:H12" si="2">G4+F4</f>
        <v>0</v>
      </c>
      <c r="I4" s="6">
        <f t="shared" ref="I4:I12" si="3">C4*500</f>
        <v>0</v>
      </c>
      <c r="J4" s="6">
        <f t="shared" ref="J4:J12" si="4">I4+E4+B4</f>
        <v>0</v>
      </c>
      <c r="K4" s="6">
        <f t="shared" ref="K4:K12" si="5">I4+B4</f>
        <v>0</v>
      </c>
    </row>
    <row r="5">
      <c r="A5" s="3" t="s">
        <v>14</v>
      </c>
      <c r="B5" s="7">
        <v>381.2</v>
      </c>
      <c r="C5" s="7">
        <v>3.0</v>
      </c>
      <c r="D5" s="7">
        <v>2440.94</v>
      </c>
      <c r="E5" s="7">
        <v>2440.94</v>
      </c>
      <c r="F5" s="8">
        <v>-0.56</v>
      </c>
      <c r="G5" s="6">
        <f t="shared" si="1"/>
        <v>0</v>
      </c>
      <c r="H5" s="6">
        <f t="shared" si="2"/>
        <v>-0.56</v>
      </c>
      <c r="I5" s="6">
        <f t="shared" si="3"/>
        <v>1500</v>
      </c>
      <c r="J5" s="6">
        <f t="shared" si="4"/>
        <v>4322.14</v>
      </c>
      <c r="K5" s="6">
        <f t="shared" si="5"/>
        <v>1881.2</v>
      </c>
    </row>
    <row r="6">
      <c r="A6" s="3" t="s">
        <v>16</v>
      </c>
      <c r="B6" s="7">
        <v>372.2</v>
      </c>
      <c r="C6" s="3"/>
      <c r="D6" s="7">
        <v>239.42</v>
      </c>
      <c r="E6" s="7">
        <v>239.42</v>
      </c>
      <c r="F6" s="7">
        <v>0.0</v>
      </c>
      <c r="G6" s="6">
        <f t="shared" si="1"/>
        <v>0</v>
      </c>
      <c r="H6" s="6">
        <f t="shared" si="2"/>
        <v>0</v>
      </c>
      <c r="I6" s="6">
        <f t="shared" si="3"/>
        <v>0</v>
      </c>
      <c r="J6" s="6">
        <f t="shared" si="4"/>
        <v>611.62</v>
      </c>
      <c r="K6" s="6">
        <f t="shared" si="5"/>
        <v>372.2</v>
      </c>
    </row>
    <row r="7">
      <c r="A7" s="4" t="s">
        <v>19</v>
      </c>
      <c r="B7" s="3"/>
      <c r="C7" s="3"/>
      <c r="D7" s="3"/>
      <c r="E7" s="3"/>
      <c r="F7" s="3"/>
      <c r="G7" s="6">
        <f t="shared" si="1"/>
        <v>0</v>
      </c>
      <c r="H7" s="6">
        <f t="shared" si="2"/>
        <v>0</v>
      </c>
      <c r="I7" s="6">
        <f t="shared" si="3"/>
        <v>0</v>
      </c>
      <c r="J7" s="6">
        <f t="shared" si="4"/>
        <v>0</v>
      </c>
      <c r="K7" s="6">
        <f t="shared" si="5"/>
        <v>0</v>
      </c>
    </row>
    <row r="8">
      <c r="A8" s="4" t="s">
        <v>21</v>
      </c>
      <c r="B8" s="3"/>
      <c r="C8" s="3"/>
      <c r="D8" s="3"/>
      <c r="E8" s="3"/>
      <c r="F8" s="3"/>
      <c r="G8" s="6">
        <f t="shared" si="1"/>
        <v>0</v>
      </c>
      <c r="H8" s="6">
        <f t="shared" si="2"/>
        <v>0</v>
      </c>
      <c r="I8" s="6">
        <f t="shared" si="3"/>
        <v>0</v>
      </c>
      <c r="J8" s="6">
        <f t="shared" si="4"/>
        <v>0</v>
      </c>
      <c r="K8" s="6">
        <f t="shared" si="5"/>
        <v>0</v>
      </c>
    </row>
    <row r="9">
      <c r="A9" s="4" t="s">
        <v>20</v>
      </c>
      <c r="B9" s="7">
        <v>120.2</v>
      </c>
      <c r="C9" s="7">
        <v>2.0</v>
      </c>
      <c r="D9" s="7">
        <v>1060.82</v>
      </c>
      <c r="E9" s="7">
        <v>1060.82</v>
      </c>
      <c r="F9" s="7">
        <v>1.46</v>
      </c>
      <c r="G9" s="6">
        <f t="shared" si="1"/>
        <v>0</v>
      </c>
      <c r="H9" s="6">
        <f t="shared" si="2"/>
        <v>1.46</v>
      </c>
      <c r="I9" s="6">
        <f t="shared" si="3"/>
        <v>1000</v>
      </c>
      <c r="J9" s="6">
        <f t="shared" si="4"/>
        <v>2181.02</v>
      </c>
      <c r="K9" s="6">
        <f t="shared" si="5"/>
        <v>1120.2</v>
      </c>
    </row>
    <row r="10">
      <c r="A10" s="4" t="s">
        <v>24</v>
      </c>
      <c r="B10" s="3"/>
      <c r="C10" s="3"/>
      <c r="D10" s="3"/>
      <c r="E10" s="3"/>
      <c r="F10" s="3"/>
      <c r="G10" s="6">
        <f t="shared" si="1"/>
        <v>0</v>
      </c>
      <c r="H10" s="6">
        <f t="shared" si="2"/>
        <v>0</v>
      </c>
      <c r="I10" s="6">
        <f t="shared" si="3"/>
        <v>0</v>
      </c>
      <c r="J10" s="6">
        <f t="shared" si="4"/>
        <v>0</v>
      </c>
      <c r="K10" s="6">
        <f t="shared" si="5"/>
        <v>0</v>
      </c>
    </row>
    <row r="11">
      <c r="A11" s="3" t="s">
        <v>25</v>
      </c>
      <c r="B11" s="3"/>
      <c r="C11" s="3"/>
      <c r="D11" s="3"/>
      <c r="E11" s="3"/>
      <c r="F11" s="3"/>
      <c r="G11" s="6">
        <f t="shared" si="1"/>
        <v>0</v>
      </c>
      <c r="H11" s="6">
        <f t="shared" si="2"/>
        <v>0</v>
      </c>
      <c r="I11" s="6">
        <f t="shared" si="3"/>
        <v>0</v>
      </c>
      <c r="J11" s="6">
        <f t="shared" si="4"/>
        <v>0</v>
      </c>
      <c r="K11" s="6">
        <f t="shared" si="5"/>
        <v>0</v>
      </c>
    </row>
    <row r="12">
      <c r="A12" s="3" t="s">
        <v>26</v>
      </c>
      <c r="B12" s="7">
        <v>62.32</v>
      </c>
      <c r="C12" s="3"/>
      <c r="D12" s="7">
        <v>104.95</v>
      </c>
      <c r="E12" s="7">
        <v>104.95</v>
      </c>
      <c r="F12" s="7">
        <v>0.0</v>
      </c>
      <c r="G12" s="6">
        <f t="shared" si="1"/>
        <v>0</v>
      </c>
      <c r="H12" s="6">
        <f t="shared" si="2"/>
        <v>0</v>
      </c>
      <c r="I12" s="6">
        <f t="shared" si="3"/>
        <v>0</v>
      </c>
      <c r="J12" s="6">
        <f t="shared" si="4"/>
        <v>167.27</v>
      </c>
      <c r="K12" s="6">
        <f t="shared" si="5"/>
        <v>62.32</v>
      </c>
    </row>
    <row r="13">
      <c r="B13" s="6">
        <f>SUM(B4:B12)</f>
        <v>935.92</v>
      </c>
      <c r="D13" s="6">
        <f t="shared" ref="D13:K13" si="6">SUM(D4:D12)</f>
        <v>3846.13</v>
      </c>
      <c r="E13" s="6">
        <f t="shared" si="6"/>
        <v>3846.13</v>
      </c>
      <c r="F13" s="6">
        <f t="shared" si="6"/>
        <v>0.9</v>
      </c>
      <c r="G13" s="6">
        <f t="shared" si="6"/>
        <v>0</v>
      </c>
      <c r="H13" s="6">
        <f t="shared" si="6"/>
        <v>0.9</v>
      </c>
      <c r="I13" s="6">
        <f t="shared" si="6"/>
        <v>2500</v>
      </c>
      <c r="J13" s="6">
        <f t="shared" si="6"/>
        <v>7282.05</v>
      </c>
      <c r="K13" s="6">
        <f t="shared" si="6"/>
        <v>3435.92</v>
      </c>
    </row>
    <row r="16">
      <c r="A16" s="1" t="s">
        <v>0</v>
      </c>
      <c r="B16" s="2">
        <f>B2+1</f>
        <v>45993</v>
      </c>
    </row>
    <row r="17">
      <c r="A17" s="3"/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>
      <c r="A18" s="3" t="str">
        <f t="shared" ref="A18:A26" si="7">A4</f>
        <v>Ricardo </v>
      </c>
      <c r="B18" s="10"/>
      <c r="C18" s="3"/>
      <c r="D18" s="4"/>
      <c r="E18" s="4"/>
      <c r="F18" s="4"/>
      <c r="G18" s="6">
        <f t="shared" ref="G18:G26" si="8">D18-E18</f>
        <v>0</v>
      </c>
      <c r="H18" s="6">
        <f t="shared" ref="H18:H26" si="9">G18+F18</f>
        <v>0</v>
      </c>
      <c r="I18" s="6">
        <f t="shared" ref="I18:I26" si="10">C18*500</f>
        <v>0</v>
      </c>
      <c r="J18" s="6">
        <f t="shared" ref="J18:J26" si="11">I18+E18+B18</f>
        <v>0</v>
      </c>
      <c r="K18" s="6">
        <f t="shared" ref="K18:K26" si="12">I18+B18</f>
        <v>0</v>
      </c>
    </row>
    <row r="19">
      <c r="A19" s="3" t="str">
        <f t="shared" si="7"/>
        <v>rosa</v>
      </c>
      <c r="B19" s="7">
        <v>281.2</v>
      </c>
      <c r="C19" s="7">
        <v>4.0</v>
      </c>
      <c r="D19" s="7">
        <v>2225.21</v>
      </c>
      <c r="E19" s="7">
        <v>2225.21</v>
      </c>
      <c r="F19" s="8">
        <v>0.25</v>
      </c>
      <c r="G19" s="6">
        <f t="shared" si="8"/>
        <v>0</v>
      </c>
      <c r="H19" s="6">
        <f t="shared" si="9"/>
        <v>0.25</v>
      </c>
      <c r="I19" s="6">
        <f t="shared" si="10"/>
        <v>2000</v>
      </c>
      <c r="J19" s="6">
        <f t="shared" si="11"/>
        <v>4506.41</v>
      </c>
      <c r="K19" s="6">
        <f t="shared" si="12"/>
        <v>2281.2</v>
      </c>
    </row>
    <row r="20">
      <c r="A20" s="3" t="str">
        <f t="shared" si="7"/>
        <v>Gloria </v>
      </c>
      <c r="B20" s="3"/>
      <c r="C20" s="3"/>
      <c r="D20" s="3"/>
      <c r="E20" s="3"/>
      <c r="F20" s="3"/>
      <c r="G20" s="6">
        <f t="shared" si="8"/>
        <v>0</v>
      </c>
      <c r="H20" s="6">
        <f t="shared" si="9"/>
        <v>0</v>
      </c>
      <c r="I20" s="6">
        <f t="shared" si="10"/>
        <v>0</v>
      </c>
      <c r="J20" s="6">
        <f t="shared" si="11"/>
        <v>0</v>
      </c>
      <c r="K20" s="6">
        <f t="shared" si="12"/>
        <v>0</v>
      </c>
    </row>
    <row r="21">
      <c r="A21" s="11" t="str">
        <f t="shared" si="7"/>
        <v>Adriana</v>
      </c>
      <c r="B21" s="3"/>
      <c r="C21" s="3"/>
      <c r="D21" s="3"/>
      <c r="E21" s="3"/>
      <c r="F21" s="3"/>
      <c r="G21" s="6">
        <f t="shared" si="8"/>
        <v>0</v>
      </c>
      <c r="H21" s="6">
        <f t="shared" si="9"/>
        <v>0</v>
      </c>
      <c r="I21" s="6">
        <f t="shared" si="10"/>
        <v>0</v>
      </c>
      <c r="J21" s="6">
        <f t="shared" si="11"/>
        <v>0</v>
      </c>
      <c r="K21" s="6">
        <f t="shared" si="12"/>
        <v>0</v>
      </c>
    </row>
    <row r="22">
      <c r="A22" s="11" t="str">
        <f t="shared" si="7"/>
        <v>diana</v>
      </c>
      <c r="B22" s="3"/>
      <c r="C22" s="3"/>
      <c r="D22" s="3"/>
      <c r="E22" s="3"/>
      <c r="F22" s="3"/>
      <c r="G22" s="6">
        <f t="shared" si="8"/>
        <v>0</v>
      </c>
      <c r="H22" s="6">
        <f t="shared" si="9"/>
        <v>0</v>
      </c>
      <c r="I22" s="6">
        <f t="shared" si="10"/>
        <v>0</v>
      </c>
      <c r="J22" s="6">
        <f t="shared" si="11"/>
        <v>0</v>
      </c>
      <c r="K22" s="6">
        <f t="shared" si="12"/>
        <v>0</v>
      </c>
    </row>
    <row r="23">
      <c r="A23" s="11" t="str">
        <f t="shared" si="7"/>
        <v>Andrea</v>
      </c>
      <c r="B23" s="7">
        <v>27.58</v>
      </c>
      <c r="C23" s="7">
        <v>2.0</v>
      </c>
      <c r="D23" s="7">
        <v>1076.95</v>
      </c>
      <c r="E23" s="7">
        <v>1076.95</v>
      </c>
      <c r="F23" s="7">
        <v>-8.37</v>
      </c>
      <c r="G23" s="6">
        <f t="shared" si="8"/>
        <v>0</v>
      </c>
      <c r="H23" s="6">
        <f t="shared" si="9"/>
        <v>-8.37</v>
      </c>
      <c r="I23" s="6">
        <f t="shared" si="10"/>
        <v>1000</v>
      </c>
      <c r="J23" s="6">
        <f t="shared" si="11"/>
        <v>2104.53</v>
      </c>
      <c r="K23" s="6">
        <f t="shared" si="12"/>
        <v>1027.58</v>
      </c>
    </row>
    <row r="24">
      <c r="A24" s="11" t="str">
        <f t="shared" si="7"/>
        <v>Erick</v>
      </c>
      <c r="B24" s="3"/>
      <c r="C24" s="3"/>
      <c r="D24" s="3"/>
      <c r="E24" s="3"/>
      <c r="F24" s="3"/>
      <c r="G24" s="6">
        <f t="shared" si="8"/>
        <v>0</v>
      </c>
      <c r="H24" s="6">
        <f t="shared" si="9"/>
        <v>0</v>
      </c>
      <c r="I24" s="6">
        <f t="shared" si="10"/>
        <v>0</v>
      </c>
      <c r="J24" s="6">
        <f t="shared" si="11"/>
        <v>0</v>
      </c>
      <c r="K24" s="6">
        <f t="shared" si="12"/>
        <v>0</v>
      </c>
    </row>
    <row r="25">
      <c r="A25" s="6" t="str">
        <f t="shared" si="7"/>
        <v>Carlos</v>
      </c>
      <c r="B25" s="3"/>
      <c r="C25" s="3"/>
      <c r="D25" s="3"/>
      <c r="E25" s="3"/>
      <c r="F25" s="3"/>
      <c r="G25" s="6">
        <f t="shared" si="8"/>
        <v>0</v>
      </c>
      <c r="H25" s="6">
        <f t="shared" si="9"/>
        <v>0</v>
      </c>
      <c r="I25" s="6">
        <f t="shared" si="10"/>
        <v>0</v>
      </c>
      <c r="J25" s="6">
        <f t="shared" si="11"/>
        <v>0</v>
      </c>
      <c r="K25" s="6">
        <f t="shared" si="12"/>
        <v>0</v>
      </c>
    </row>
    <row r="26">
      <c r="A26" s="6" t="str">
        <f t="shared" si="7"/>
        <v>Tathy</v>
      </c>
      <c r="B26" s="7">
        <v>287.7</v>
      </c>
      <c r="C26" s="3"/>
      <c r="D26" s="7">
        <v>503.99</v>
      </c>
      <c r="E26" s="7">
        <v>503.99</v>
      </c>
      <c r="F26" s="7">
        <v>0.1</v>
      </c>
      <c r="G26" s="6">
        <f t="shared" si="8"/>
        <v>0</v>
      </c>
      <c r="H26" s="6">
        <f t="shared" si="9"/>
        <v>0.1</v>
      </c>
      <c r="I26" s="6">
        <f t="shared" si="10"/>
        <v>0</v>
      </c>
      <c r="J26" s="6">
        <f t="shared" si="11"/>
        <v>791.69</v>
      </c>
      <c r="K26" s="6">
        <f t="shared" si="12"/>
        <v>287.7</v>
      </c>
    </row>
    <row r="27">
      <c r="B27" s="6">
        <f>SUM(B18:B26)</f>
        <v>596.48</v>
      </c>
      <c r="D27" s="6">
        <f t="shared" ref="D27:K27" si="13">SUM(D18:D26)</f>
        <v>3806.15</v>
      </c>
      <c r="E27" s="6">
        <f t="shared" si="13"/>
        <v>3806.15</v>
      </c>
      <c r="F27" s="6">
        <f t="shared" si="13"/>
        <v>-8.02</v>
      </c>
      <c r="G27" s="6">
        <f t="shared" si="13"/>
        <v>0</v>
      </c>
      <c r="H27" s="6">
        <f t="shared" si="13"/>
        <v>-8.02</v>
      </c>
      <c r="I27" s="6">
        <f t="shared" si="13"/>
        <v>3000</v>
      </c>
      <c r="J27" s="6">
        <f t="shared" si="13"/>
        <v>7402.63</v>
      </c>
      <c r="K27" s="6">
        <f t="shared" si="13"/>
        <v>3596.48</v>
      </c>
    </row>
    <row r="30">
      <c r="A30" s="3" t="s">
        <v>0</v>
      </c>
      <c r="B30" s="12">
        <f>B16+1</f>
        <v>45994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tr">
        <f t="shared" ref="A32:A40" si="14">A18</f>
        <v>Ricardo </v>
      </c>
      <c r="B32" s="10"/>
      <c r="C32" s="3"/>
      <c r="D32" s="3"/>
      <c r="E32" s="3"/>
      <c r="F32" s="3"/>
      <c r="G32" s="7">
        <f t="shared" ref="G32:G40" si="15">D32-E32</f>
        <v>0</v>
      </c>
      <c r="H32" s="7">
        <f t="shared" ref="H32:H40" si="16">G32+F32</f>
        <v>0</v>
      </c>
      <c r="I32" s="7">
        <f t="shared" ref="I32:I40" si="17">C32*500</f>
        <v>0</v>
      </c>
      <c r="J32" s="7">
        <f t="shared" ref="J32:J40" si="18">I32+E32+B32</f>
        <v>0</v>
      </c>
      <c r="K32" s="7">
        <f t="shared" ref="K32:K40" si="19">I32+B32</f>
        <v>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tr">
        <f t="shared" si="14"/>
        <v>rosa</v>
      </c>
      <c r="B33" s="3"/>
      <c r="C33" s="3"/>
      <c r="D33" s="3"/>
      <c r="E33" s="3"/>
      <c r="F33" s="3"/>
      <c r="G33" s="7">
        <f t="shared" si="15"/>
        <v>0</v>
      </c>
      <c r="H33" s="7">
        <f t="shared" si="16"/>
        <v>0</v>
      </c>
      <c r="I33" s="7">
        <f t="shared" si="17"/>
        <v>0</v>
      </c>
      <c r="J33" s="7">
        <f t="shared" si="18"/>
        <v>0</v>
      </c>
      <c r="K33" s="7">
        <f t="shared" si="19"/>
        <v>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tr">
        <f t="shared" si="14"/>
        <v>Gloria </v>
      </c>
      <c r="B34" s="7">
        <v>411.7</v>
      </c>
      <c r="C34" s="7">
        <v>3.0</v>
      </c>
      <c r="D34" s="7">
        <v>2332.89</v>
      </c>
      <c r="E34" s="7">
        <v>2332.89</v>
      </c>
      <c r="F34" s="7">
        <v>0.71</v>
      </c>
      <c r="G34" s="7">
        <f t="shared" si="15"/>
        <v>0</v>
      </c>
      <c r="H34" s="7">
        <f t="shared" si="16"/>
        <v>0.71</v>
      </c>
      <c r="I34" s="7">
        <f t="shared" si="17"/>
        <v>1500</v>
      </c>
      <c r="J34" s="7">
        <f t="shared" si="18"/>
        <v>4244.59</v>
      </c>
      <c r="K34" s="7">
        <f t="shared" si="19"/>
        <v>1911.7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" t="str">
        <f t="shared" si="14"/>
        <v>Adriana</v>
      </c>
      <c r="B35" s="3"/>
      <c r="C35" s="3"/>
      <c r="D35" s="3"/>
      <c r="E35" s="3"/>
      <c r="F35" s="3"/>
      <c r="G35" s="7">
        <f t="shared" si="15"/>
        <v>0</v>
      </c>
      <c r="H35" s="7">
        <f t="shared" si="16"/>
        <v>0</v>
      </c>
      <c r="I35" s="7">
        <f t="shared" si="17"/>
        <v>0</v>
      </c>
      <c r="J35" s="7">
        <f t="shared" si="18"/>
        <v>0</v>
      </c>
      <c r="K35" s="7">
        <f t="shared" si="19"/>
        <v>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 t="str">
        <f t="shared" si="14"/>
        <v>diana</v>
      </c>
      <c r="B36" s="3"/>
      <c r="C36" s="3"/>
      <c r="D36" s="3"/>
      <c r="E36" s="3"/>
      <c r="F36" s="3"/>
      <c r="G36" s="7">
        <f t="shared" si="15"/>
        <v>0</v>
      </c>
      <c r="H36" s="7">
        <f t="shared" si="16"/>
        <v>0</v>
      </c>
      <c r="I36" s="7">
        <f t="shared" si="17"/>
        <v>0</v>
      </c>
      <c r="J36" s="7">
        <f t="shared" si="18"/>
        <v>0</v>
      </c>
      <c r="K36" s="7">
        <f t="shared" si="19"/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" t="str">
        <f t="shared" si="14"/>
        <v>Andrea</v>
      </c>
      <c r="B37" s="7">
        <v>446.18</v>
      </c>
      <c r="C37" s="7">
        <v>1.0</v>
      </c>
      <c r="D37" s="7">
        <v>644.11</v>
      </c>
      <c r="E37" s="7">
        <v>644.11</v>
      </c>
      <c r="F37" s="7">
        <v>0.11</v>
      </c>
      <c r="G37" s="7">
        <f t="shared" si="15"/>
        <v>0</v>
      </c>
      <c r="H37" s="7">
        <f t="shared" si="16"/>
        <v>0.11</v>
      </c>
      <c r="I37" s="7">
        <f t="shared" si="17"/>
        <v>500</v>
      </c>
      <c r="J37" s="7">
        <f t="shared" si="18"/>
        <v>1590.29</v>
      </c>
      <c r="K37" s="7">
        <f t="shared" si="19"/>
        <v>946.18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" t="str">
        <f t="shared" si="14"/>
        <v>Erick</v>
      </c>
      <c r="B38" s="3"/>
      <c r="C38" s="3"/>
      <c r="D38" s="3"/>
      <c r="E38" s="3"/>
      <c r="F38" s="3"/>
      <c r="G38" s="7">
        <f t="shared" si="15"/>
        <v>0</v>
      </c>
      <c r="H38" s="7">
        <f t="shared" si="16"/>
        <v>0</v>
      </c>
      <c r="I38" s="7">
        <f t="shared" si="17"/>
        <v>0</v>
      </c>
      <c r="J38" s="7">
        <f t="shared" si="18"/>
        <v>0</v>
      </c>
      <c r="K38" s="7">
        <f t="shared" si="19"/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 t="str">
        <f t="shared" si="14"/>
        <v>Carlos</v>
      </c>
      <c r="B39" s="7">
        <v>0.0</v>
      </c>
      <c r="C39" s="7">
        <v>0.0</v>
      </c>
      <c r="D39" s="7">
        <v>45.2</v>
      </c>
      <c r="E39" s="7">
        <v>45.2</v>
      </c>
      <c r="F39" s="7">
        <v>0.0</v>
      </c>
      <c r="G39" s="7">
        <f t="shared" si="15"/>
        <v>0</v>
      </c>
      <c r="H39" s="7">
        <f t="shared" si="16"/>
        <v>0</v>
      </c>
      <c r="I39" s="7">
        <f t="shared" si="17"/>
        <v>0</v>
      </c>
      <c r="J39" s="7">
        <f t="shared" si="18"/>
        <v>45.2</v>
      </c>
      <c r="K39" s="7">
        <f t="shared" si="19"/>
        <v>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 t="str">
        <f t="shared" si="14"/>
        <v>Tathy</v>
      </c>
      <c r="B40" s="3"/>
      <c r="C40" s="3"/>
      <c r="D40" s="3"/>
      <c r="E40" s="3"/>
      <c r="F40" s="3"/>
      <c r="G40" s="7">
        <f t="shared" si="15"/>
        <v>0</v>
      </c>
      <c r="H40" s="7">
        <f t="shared" si="16"/>
        <v>0</v>
      </c>
      <c r="I40" s="7">
        <f t="shared" si="17"/>
        <v>0</v>
      </c>
      <c r="J40" s="7">
        <f t="shared" si="18"/>
        <v>0</v>
      </c>
      <c r="K40" s="7">
        <f t="shared" si="19"/>
        <v>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>
        <f>SUM(B32:B40)</f>
        <v>857.88</v>
      </c>
      <c r="C41" s="3"/>
      <c r="D41" s="7">
        <f t="shared" ref="D41:K41" si="20">SUM(D32:D40)</f>
        <v>3022.2</v>
      </c>
      <c r="E41" s="7">
        <f t="shared" si="20"/>
        <v>3022.2</v>
      </c>
      <c r="F41" s="7">
        <f t="shared" si="20"/>
        <v>0.82</v>
      </c>
      <c r="G41" s="7">
        <f t="shared" si="20"/>
        <v>0</v>
      </c>
      <c r="H41" s="7">
        <f t="shared" si="20"/>
        <v>0.82</v>
      </c>
      <c r="I41" s="7">
        <f t="shared" si="20"/>
        <v>2000</v>
      </c>
      <c r="J41" s="7">
        <f t="shared" si="20"/>
        <v>5880.08</v>
      </c>
      <c r="K41" s="7">
        <f t="shared" si="20"/>
        <v>2857.88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4">
      <c r="A44" s="3" t="s">
        <v>0</v>
      </c>
      <c r="B44" s="12">
        <f>B30+1</f>
        <v>45995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 t="s">
        <v>1</v>
      </c>
      <c r="C45" s="3" t="s">
        <v>2</v>
      </c>
      <c r="D45" s="3" t="s">
        <v>3</v>
      </c>
      <c r="E45" s="3" t="s">
        <v>4</v>
      </c>
      <c r="F45" s="3" t="s">
        <v>5</v>
      </c>
      <c r="G45" s="3" t="s">
        <v>6</v>
      </c>
      <c r="H45" s="3" t="s">
        <v>7</v>
      </c>
      <c r="I45" s="3" t="s">
        <v>8</v>
      </c>
      <c r="J45" s="3" t="s">
        <v>9</v>
      </c>
      <c r="K45" s="3" t="s">
        <v>10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tr">
        <f t="shared" ref="A46:A54" si="21">A32</f>
        <v>Ricardo </v>
      </c>
      <c r="B46" s="10"/>
      <c r="C46" s="3"/>
      <c r="D46" s="3"/>
      <c r="E46" s="3"/>
      <c r="F46" s="3"/>
      <c r="G46" s="7">
        <f t="shared" ref="G46:G54" si="22">D46-E46</f>
        <v>0</v>
      </c>
      <c r="H46" s="7">
        <f t="shared" ref="H46:H54" si="23">G46+F46</f>
        <v>0</v>
      </c>
      <c r="I46" s="7">
        <f t="shared" ref="I46:I54" si="24">C46*500</f>
        <v>0</v>
      </c>
      <c r="J46" s="7">
        <f t="shared" ref="J46:J54" si="25">I46+E46+B46</f>
        <v>0</v>
      </c>
      <c r="K46" s="7">
        <f t="shared" ref="K46:K54" si="26">I46+B46</f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tr">
        <f t="shared" si="21"/>
        <v>rosa</v>
      </c>
      <c r="B47" s="7">
        <v>125.0</v>
      </c>
      <c r="C47" s="7">
        <v>3.0</v>
      </c>
      <c r="D47" s="7">
        <v>2066.32</v>
      </c>
      <c r="E47" s="7">
        <v>2066.32</v>
      </c>
      <c r="F47" s="8">
        <v>1.09</v>
      </c>
      <c r="G47" s="7">
        <f t="shared" si="22"/>
        <v>0</v>
      </c>
      <c r="H47" s="7">
        <f t="shared" si="23"/>
        <v>1.09</v>
      </c>
      <c r="I47" s="7">
        <f t="shared" si="24"/>
        <v>1500</v>
      </c>
      <c r="J47" s="7">
        <f t="shared" si="25"/>
        <v>3691.32</v>
      </c>
      <c r="K47" s="7">
        <f t="shared" si="26"/>
        <v>1625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tr">
        <f t="shared" si="21"/>
        <v>Gloria </v>
      </c>
      <c r="B48" s="7">
        <v>467.9</v>
      </c>
      <c r="C48" s="3"/>
      <c r="D48" s="7">
        <v>255.33</v>
      </c>
      <c r="E48" s="7">
        <v>255.33</v>
      </c>
      <c r="F48" s="7">
        <v>0.41</v>
      </c>
      <c r="G48" s="7">
        <f t="shared" si="22"/>
        <v>0</v>
      </c>
      <c r="H48" s="7">
        <f t="shared" si="23"/>
        <v>0.41</v>
      </c>
      <c r="I48" s="7">
        <f t="shared" si="24"/>
        <v>0</v>
      </c>
      <c r="J48" s="7">
        <f t="shared" si="25"/>
        <v>723.23</v>
      </c>
      <c r="K48" s="7">
        <f t="shared" si="26"/>
        <v>467.9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tr">
        <f t="shared" si="21"/>
        <v>Adriana</v>
      </c>
      <c r="B49" s="3"/>
      <c r="C49" s="3"/>
      <c r="D49" s="3"/>
      <c r="E49" s="3"/>
      <c r="F49" s="3"/>
      <c r="G49" s="7">
        <f t="shared" si="22"/>
        <v>0</v>
      </c>
      <c r="H49" s="7">
        <f t="shared" si="23"/>
        <v>0</v>
      </c>
      <c r="I49" s="7">
        <f t="shared" si="24"/>
        <v>0</v>
      </c>
      <c r="J49" s="7">
        <f t="shared" si="25"/>
        <v>0</v>
      </c>
      <c r="K49" s="7">
        <f t="shared" si="26"/>
        <v>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tr">
        <f t="shared" si="21"/>
        <v>diana</v>
      </c>
      <c r="B50" s="3"/>
      <c r="C50" s="3"/>
      <c r="D50" s="3"/>
      <c r="E50" s="3"/>
      <c r="F50" s="3"/>
      <c r="G50" s="7">
        <f t="shared" si="22"/>
        <v>0</v>
      </c>
      <c r="H50" s="7">
        <f t="shared" si="23"/>
        <v>0</v>
      </c>
      <c r="I50" s="7">
        <f t="shared" si="24"/>
        <v>0</v>
      </c>
      <c r="J50" s="7">
        <f t="shared" si="25"/>
        <v>0</v>
      </c>
      <c r="K50" s="7">
        <f t="shared" si="26"/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tr">
        <f t="shared" si="21"/>
        <v>Andrea</v>
      </c>
      <c r="B51" s="7">
        <v>211.63</v>
      </c>
      <c r="C51" s="7">
        <v>1.0</v>
      </c>
      <c r="D51" s="7">
        <v>1243.62</v>
      </c>
      <c r="E51" s="7">
        <v>1243.62</v>
      </c>
      <c r="F51" s="7">
        <v>-1.83</v>
      </c>
      <c r="G51" s="7">
        <f t="shared" si="22"/>
        <v>0</v>
      </c>
      <c r="H51" s="7">
        <f t="shared" si="23"/>
        <v>-1.83</v>
      </c>
      <c r="I51" s="7">
        <f t="shared" si="24"/>
        <v>500</v>
      </c>
      <c r="J51" s="7">
        <f t="shared" si="25"/>
        <v>1955.25</v>
      </c>
      <c r="K51" s="7">
        <f t="shared" si="26"/>
        <v>711.63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tr">
        <f t="shared" si="21"/>
        <v>Erick</v>
      </c>
      <c r="B52" s="3"/>
      <c r="C52" s="3"/>
      <c r="D52" s="3"/>
      <c r="E52" s="3"/>
      <c r="F52" s="3"/>
      <c r="G52" s="7">
        <f t="shared" si="22"/>
        <v>0</v>
      </c>
      <c r="H52" s="7">
        <f t="shared" si="23"/>
        <v>0</v>
      </c>
      <c r="I52" s="7">
        <f t="shared" si="24"/>
        <v>0</v>
      </c>
      <c r="J52" s="7">
        <f t="shared" si="25"/>
        <v>0</v>
      </c>
      <c r="K52" s="7">
        <f t="shared" si="26"/>
        <v>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 t="str">
        <f t="shared" si="21"/>
        <v>Carlos</v>
      </c>
      <c r="B53" s="7">
        <v>70.6</v>
      </c>
      <c r="C53" s="3"/>
      <c r="D53" s="7">
        <v>161.7</v>
      </c>
      <c r="E53" s="7">
        <v>161.7</v>
      </c>
      <c r="F53" s="7">
        <v>0.09</v>
      </c>
      <c r="G53" s="7">
        <f t="shared" si="22"/>
        <v>0</v>
      </c>
      <c r="H53" s="7">
        <f t="shared" si="23"/>
        <v>0.09</v>
      </c>
      <c r="I53" s="7">
        <f t="shared" si="24"/>
        <v>0</v>
      </c>
      <c r="J53" s="7">
        <f t="shared" si="25"/>
        <v>232.3</v>
      </c>
      <c r="K53" s="7">
        <f t="shared" si="26"/>
        <v>70.6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 t="str">
        <f t="shared" si="21"/>
        <v>Tathy</v>
      </c>
      <c r="B54" s="3"/>
      <c r="C54" s="3"/>
      <c r="D54" s="3"/>
      <c r="E54" s="3"/>
      <c r="F54" s="3"/>
      <c r="G54" s="7">
        <f t="shared" si="22"/>
        <v>0</v>
      </c>
      <c r="H54" s="7">
        <f t="shared" si="23"/>
        <v>0</v>
      </c>
      <c r="I54" s="7">
        <f t="shared" si="24"/>
        <v>0</v>
      </c>
      <c r="J54" s="7">
        <f t="shared" si="25"/>
        <v>0</v>
      </c>
      <c r="K54" s="7">
        <f t="shared" si="26"/>
        <v>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>
        <f>SUM(B46:B54)</f>
        <v>875.13</v>
      </c>
      <c r="C55" s="3"/>
      <c r="D55" s="7">
        <f t="shared" ref="D55:K55" si="27">SUM(D46:D54)</f>
        <v>3726.97</v>
      </c>
      <c r="E55" s="7">
        <f t="shared" si="27"/>
        <v>3726.97</v>
      </c>
      <c r="F55" s="7">
        <f t="shared" si="27"/>
        <v>-0.24</v>
      </c>
      <c r="G55" s="7">
        <f t="shared" si="27"/>
        <v>0</v>
      </c>
      <c r="H55" s="7">
        <f t="shared" si="27"/>
        <v>-0.24</v>
      </c>
      <c r="I55" s="7">
        <f t="shared" si="27"/>
        <v>2000</v>
      </c>
      <c r="J55" s="7">
        <f t="shared" si="27"/>
        <v>6602.1</v>
      </c>
      <c r="K55" s="7">
        <f t="shared" si="27"/>
        <v>2875.13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8">
      <c r="A58" s="3" t="s">
        <v>0</v>
      </c>
      <c r="B58" s="12">
        <f>B44+1</f>
        <v>45996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 t="s">
        <v>1</v>
      </c>
      <c r="C59" s="3" t="s">
        <v>2</v>
      </c>
      <c r="D59" s="3" t="s">
        <v>3</v>
      </c>
      <c r="E59" s="3" t="s">
        <v>4</v>
      </c>
      <c r="F59" s="3" t="s">
        <v>5</v>
      </c>
      <c r="G59" s="3" t="s">
        <v>6</v>
      </c>
      <c r="H59" s="3" t="s">
        <v>7</v>
      </c>
      <c r="I59" s="3" t="s">
        <v>8</v>
      </c>
      <c r="J59" s="3" t="s">
        <v>9</v>
      </c>
      <c r="K59" s="3" t="s">
        <v>10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tr">
        <f t="shared" ref="A60:A68" si="28">A46</f>
        <v>Ricardo </v>
      </c>
      <c r="B60" s="10"/>
      <c r="C60" s="3"/>
      <c r="D60" s="3"/>
      <c r="E60" s="3"/>
      <c r="F60" s="3"/>
      <c r="G60" s="7">
        <f t="shared" ref="G60:G68" si="29">D60-E60</f>
        <v>0</v>
      </c>
      <c r="H60" s="7">
        <f t="shared" ref="H60:H68" si="30">G60+F60</f>
        <v>0</v>
      </c>
      <c r="I60" s="7">
        <f t="shared" ref="I60:I68" si="31">C60*500</f>
        <v>0</v>
      </c>
      <c r="J60" s="7">
        <f t="shared" ref="J60:J68" si="32">I60+E60+B60</f>
        <v>0</v>
      </c>
      <c r="K60" s="7">
        <f t="shared" ref="K60:K68" si="33">I60+B60</f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tr">
        <f t="shared" si="28"/>
        <v>rosa</v>
      </c>
      <c r="B61" s="7">
        <v>464.5</v>
      </c>
      <c r="C61" s="7">
        <v>5.0</v>
      </c>
      <c r="D61" s="7">
        <v>2053.85</v>
      </c>
      <c r="E61" s="7">
        <v>2053.85</v>
      </c>
      <c r="F61" s="8">
        <v>0.18</v>
      </c>
      <c r="G61" s="7">
        <f t="shared" si="29"/>
        <v>0</v>
      </c>
      <c r="H61" s="7">
        <f t="shared" si="30"/>
        <v>0.18</v>
      </c>
      <c r="I61" s="7">
        <f t="shared" si="31"/>
        <v>2500</v>
      </c>
      <c r="J61" s="7">
        <f t="shared" si="32"/>
        <v>5018.35</v>
      </c>
      <c r="K61" s="7">
        <f t="shared" si="33"/>
        <v>2964.5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tr">
        <f t="shared" si="28"/>
        <v>Gloria </v>
      </c>
      <c r="B62" s="7">
        <v>100.7</v>
      </c>
      <c r="C62" s="7">
        <v>0.0</v>
      </c>
      <c r="D62" s="7">
        <v>128.5</v>
      </c>
      <c r="E62" s="7">
        <v>128.5</v>
      </c>
      <c r="F62" s="7">
        <v>0.89</v>
      </c>
      <c r="G62" s="7">
        <f t="shared" si="29"/>
        <v>0</v>
      </c>
      <c r="H62" s="7">
        <f t="shared" si="30"/>
        <v>0.89</v>
      </c>
      <c r="I62" s="7">
        <f t="shared" si="31"/>
        <v>0</v>
      </c>
      <c r="J62" s="7">
        <f t="shared" si="32"/>
        <v>229.2</v>
      </c>
      <c r="K62" s="7">
        <f t="shared" si="33"/>
        <v>100.7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1" t="str">
        <f t="shared" si="28"/>
        <v>Adriana</v>
      </c>
      <c r="B63" s="3"/>
      <c r="C63" s="3"/>
      <c r="D63" s="3"/>
      <c r="E63" s="3"/>
      <c r="F63" s="3"/>
      <c r="G63" s="7">
        <f t="shared" si="29"/>
        <v>0</v>
      </c>
      <c r="H63" s="7">
        <f t="shared" si="30"/>
        <v>0</v>
      </c>
      <c r="I63" s="7">
        <f t="shared" si="31"/>
        <v>0</v>
      </c>
      <c r="J63" s="7">
        <f t="shared" si="32"/>
        <v>0</v>
      </c>
      <c r="K63" s="7">
        <f t="shared" si="33"/>
        <v>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tr">
        <f t="shared" si="28"/>
        <v>diana</v>
      </c>
      <c r="B64" s="7">
        <v>90.6</v>
      </c>
      <c r="C64" s="7">
        <v>0.0</v>
      </c>
      <c r="D64" s="7">
        <v>210.49</v>
      </c>
      <c r="E64" s="7">
        <v>210.49</v>
      </c>
      <c r="F64" s="7">
        <v>0.14</v>
      </c>
      <c r="G64" s="7">
        <f t="shared" si="29"/>
        <v>0</v>
      </c>
      <c r="H64" s="7">
        <f t="shared" si="30"/>
        <v>0.14</v>
      </c>
      <c r="I64" s="7">
        <f t="shared" si="31"/>
        <v>0</v>
      </c>
      <c r="J64" s="7">
        <f t="shared" si="32"/>
        <v>301.09</v>
      </c>
      <c r="K64" s="7">
        <f t="shared" si="33"/>
        <v>90.6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tr">
        <f t="shared" si="28"/>
        <v>Andrea</v>
      </c>
      <c r="B65" s="7">
        <v>48.15</v>
      </c>
      <c r="C65" s="7">
        <v>2.0</v>
      </c>
      <c r="D65" s="7">
        <v>1039.51</v>
      </c>
      <c r="E65" s="7">
        <v>1039.51</v>
      </c>
      <c r="F65" s="7">
        <v>2.06</v>
      </c>
      <c r="G65" s="7">
        <f t="shared" si="29"/>
        <v>0</v>
      </c>
      <c r="H65" s="7">
        <f t="shared" si="30"/>
        <v>2.06</v>
      </c>
      <c r="I65" s="7">
        <f t="shared" si="31"/>
        <v>1000</v>
      </c>
      <c r="J65" s="7">
        <f t="shared" si="32"/>
        <v>2087.66</v>
      </c>
      <c r="K65" s="7">
        <f t="shared" si="33"/>
        <v>1048.15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tr">
        <f t="shared" si="28"/>
        <v>Erick</v>
      </c>
      <c r="B66" s="3"/>
      <c r="C66" s="3"/>
      <c r="D66" s="3"/>
      <c r="E66" s="3"/>
      <c r="F66" s="3"/>
      <c r="G66" s="7">
        <f t="shared" si="29"/>
        <v>0</v>
      </c>
      <c r="H66" s="7">
        <f t="shared" si="30"/>
        <v>0</v>
      </c>
      <c r="I66" s="7">
        <f t="shared" si="31"/>
        <v>0</v>
      </c>
      <c r="J66" s="7">
        <f t="shared" si="32"/>
        <v>0</v>
      </c>
      <c r="K66" s="7">
        <f t="shared" si="33"/>
        <v>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 t="str">
        <f t="shared" si="28"/>
        <v>Carlos</v>
      </c>
      <c r="B67" s="3"/>
      <c r="C67" s="3"/>
      <c r="D67" s="3"/>
      <c r="E67" s="3"/>
      <c r="F67" s="3"/>
      <c r="G67" s="7">
        <f t="shared" si="29"/>
        <v>0</v>
      </c>
      <c r="H67" s="7">
        <f t="shared" si="30"/>
        <v>0</v>
      </c>
      <c r="I67" s="7">
        <f t="shared" si="31"/>
        <v>0</v>
      </c>
      <c r="J67" s="7">
        <f t="shared" si="32"/>
        <v>0</v>
      </c>
      <c r="K67" s="7">
        <f t="shared" si="33"/>
        <v>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 t="str">
        <f t="shared" si="28"/>
        <v>Tathy</v>
      </c>
      <c r="B68" s="3"/>
      <c r="C68" s="3"/>
      <c r="D68" s="3"/>
      <c r="E68" s="3"/>
      <c r="F68" s="3"/>
      <c r="G68" s="7">
        <f t="shared" si="29"/>
        <v>0</v>
      </c>
      <c r="H68" s="7">
        <f t="shared" si="30"/>
        <v>0</v>
      </c>
      <c r="I68" s="7">
        <f t="shared" si="31"/>
        <v>0</v>
      </c>
      <c r="J68" s="7">
        <f t="shared" si="32"/>
        <v>0</v>
      </c>
      <c r="K68" s="7">
        <f t="shared" si="33"/>
        <v>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>
        <f>SUM(B60:B68)</f>
        <v>703.95</v>
      </c>
      <c r="C69" s="3"/>
      <c r="D69" s="7">
        <f t="shared" ref="D69:K69" si="34">SUM(D60:D68)</f>
        <v>3432.35</v>
      </c>
      <c r="E69" s="7">
        <f t="shared" si="34"/>
        <v>3432.35</v>
      </c>
      <c r="F69" s="7">
        <f t="shared" si="34"/>
        <v>3.27</v>
      </c>
      <c r="G69" s="7">
        <f t="shared" si="34"/>
        <v>0</v>
      </c>
      <c r="H69" s="7">
        <f t="shared" si="34"/>
        <v>3.27</v>
      </c>
      <c r="I69" s="7">
        <f t="shared" si="34"/>
        <v>3500</v>
      </c>
      <c r="J69" s="7">
        <f t="shared" si="34"/>
        <v>7636.3</v>
      </c>
      <c r="K69" s="7">
        <f t="shared" si="34"/>
        <v>4203.95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2">
      <c r="A72" s="3" t="s">
        <v>0</v>
      </c>
      <c r="B72" s="12">
        <f>B58+1</f>
        <v>45997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 t="s">
        <v>1</v>
      </c>
      <c r="C73" s="3" t="s">
        <v>2</v>
      </c>
      <c r="D73" s="3" t="s">
        <v>3</v>
      </c>
      <c r="E73" s="3" t="s">
        <v>4</v>
      </c>
      <c r="F73" s="3" t="s">
        <v>5</v>
      </c>
      <c r="G73" s="3" t="s">
        <v>6</v>
      </c>
      <c r="H73" s="3" t="s">
        <v>7</v>
      </c>
      <c r="I73" s="3" t="s">
        <v>8</v>
      </c>
      <c r="J73" s="3" t="s">
        <v>9</v>
      </c>
      <c r="K73" s="3" t="s">
        <v>10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tr">
        <f t="shared" ref="A74:A82" si="35">A60</f>
        <v>Ricardo </v>
      </c>
      <c r="B74" s="10"/>
      <c r="C74" s="3"/>
      <c r="D74" s="3"/>
      <c r="E74" s="3"/>
      <c r="F74" s="3"/>
      <c r="G74" s="7">
        <f t="shared" ref="G74:G82" si="36">D74-E74</f>
        <v>0</v>
      </c>
      <c r="H74" s="7">
        <f t="shared" ref="H74:H82" si="37">G74+F74</f>
        <v>0</v>
      </c>
      <c r="I74" s="7">
        <f t="shared" ref="I74:I82" si="38">C74*500</f>
        <v>0</v>
      </c>
      <c r="J74" s="7">
        <f t="shared" ref="J74:J82" si="39">I74+E74+B74</f>
        <v>0</v>
      </c>
      <c r="K74" s="7">
        <f t="shared" ref="K74:K82" si="40">I74+B74</f>
        <v>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tr">
        <f t="shared" si="35"/>
        <v>rosa</v>
      </c>
      <c r="B75" s="3"/>
      <c r="C75" s="3"/>
      <c r="D75" s="3"/>
      <c r="E75" s="3"/>
      <c r="F75" s="3"/>
      <c r="G75" s="7">
        <f t="shared" si="36"/>
        <v>0</v>
      </c>
      <c r="H75" s="7">
        <f t="shared" si="37"/>
        <v>0</v>
      </c>
      <c r="I75" s="7">
        <f t="shared" si="38"/>
        <v>0</v>
      </c>
      <c r="J75" s="7">
        <f t="shared" si="39"/>
        <v>0</v>
      </c>
      <c r="K75" s="7">
        <f t="shared" si="40"/>
        <v>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tr">
        <f t="shared" si="35"/>
        <v>Gloria </v>
      </c>
      <c r="B76" s="7">
        <v>249.08</v>
      </c>
      <c r="C76" s="7">
        <v>0.0</v>
      </c>
      <c r="D76" s="7">
        <v>242.0</v>
      </c>
      <c r="E76" s="7">
        <v>242.0</v>
      </c>
      <c r="F76" s="7">
        <v>0.15</v>
      </c>
      <c r="G76" s="7">
        <f t="shared" si="36"/>
        <v>0</v>
      </c>
      <c r="H76" s="7">
        <f t="shared" si="37"/>
        <v>0.15</v>
      </c>
      <c r="I76" s="7">
        <f t="shared" si="38"/>
        <v>0</v>
      </c>
      <c r="J76" s="7">
        <f t="shared" si="39"/>
        <v>491.08</v>
      </c>
      <c r="K76" s="7">
        <f t="shared" si="40"/>
        <v>249.08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1" t="str">
        <f t="shared" si="35"/>
        <v>Adriana</v>
      </c>
      <c r="B77" s="3"/>
      <c r="C77" s="3"/>
      <c r="D77" s="3"/>
      <c r="E77" s="3"/>
      <c r="F77" s="3"/>
      <c r="G77" s="7">
        <f t="shared" si="36"/>
        <v>0</v>
      </c>
      <c r="H77" s="7">
        <f t="shared" si="37"/>
        <v>0</v>
      </c>
      <c r="I77" s="7">
        <f t="shared" si="38"/>
        <v>0</v>
      </c>
      <c r="J77" s="7">
        <f t="shared" si="39"/>
        <v>0</v>
      </c>
      <c r="K77" s="7">
        <f t="shared" si="40"/>
        <v>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" t="str">
        <f t="shared" si="35"/>
        <v>diana</v>
      </c>
      <c r="B78" s="7">
        <v>70.35</v>
      </c>
      <c r="C78" s="7">
        <v>3.0</v>
      </c>
      <c r="D78" s="7">
        <v>1483.11</v>
      </c>
      <c r="E78" s="7">
        <v>1483.11</v>
      </c>
      <c r="F78" s="7">
        <v>0.8</v>
      </c>
      <c r="G78" s="7">
        <f t="shared" si="36"/>
        <v>0</v>
      </c>
      <c r="H78" s="7">
        <f t="shared" si="37"/>
        <v>0.8</v>
      </c>
      <c r="I78" s="7">
        <f t="shared" si="38"/>
        <v>1500</v>
      </c>
      <c r="J78" s="7">
        <f t="shared" si="39"/>
        <v>3053.46</v>
      </c>
      <c r="K78" s="7">
        <f t="shared" si="40"/>
        <v>1570.35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" t="str">
        <f t="shared" si="35"/>
        <v>Andrea</v>
      </c>
      <c r="B79" s="7">
        <v>246.07</v>
      </c>
      <c r="C79" s="7">
        <v>2.0</v>
      </c>
      <c r="D79" s="7">
        <v>1129.41</v>
      </c>
      <c r="E79" s="7">
        <v>1129.41</v>
      </c>
      <c r="F79" s="7">
        <v>-0.08</v>
      </c>
      <c r="G79" s="7">
        <f t="shared" si="36"/>
        <v>0</v>
      </c>
      <c r="H79" s="7">
        <f t="shared" si="37"/>
        <v>-0.08</v>
      </c>
      <c r="I79" s="7">
        <f t="shared" si="38"/>
        <v>1000</v>
      </c>
      <c r="J79" s="7">
        <f t="shared" si="39"/>
        <v>2375.48</v>
      </c>
      <c r="K79" s="7">
        <f t="shared" si="40"/>
        <v>1246.07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" t="str">
        <f t="shared" si="35"/>
        <v>Erick</v>
      </c>
      <c r="B80" s="13">
        <v>7.24</v>
      </c>
      <c r="C80" s="7">
        <v>0.0</v>
      </c>
      <c r="D80" s="7">
        <v>34.77</v>
      </c>
      <c r="E80" s="7">
        <v>34.77</v>
      </c>
      <c r="F80" s="7">
        <v>0.05</v>
      </c>
      <c r="G80" s="7">
        <f t="shared" si="36"/>
        <v>0</v>
      </c>
      <c r="H80" s="7">
        <f t="shared" si="37"/>
        <v>0.05</v>
      </c>
      <c r="I80" s="7">
        <f t="shared" si="38"/>
        <v>0</v>
      </c>
      <c r="J80" s="7">
        <f t="shared" si="39"/>
        <v>42.01</v>
      </c>
      <c r="K80" s="7">
        <f t="shared" si="40"/>
        <v>7.24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 t="str">
        <f t="shared" si="35"/>
        <v>Carlos</v>
      </c>
      <c r="B81" s="3"/>
      <c r="C81" s="3"/>
      <c r="D81" s="3"/>
      <c r="E81" s="3"/>
      <c r="F81" s="3"/>
      <c r="G81" s="7">
        <f t="shared" si="36"/>
        <v>0</v>
      </c>
      <c r="H81" s="7">
        <f t="shared" si="37"/>
        <v>0</v>
      </c>
      <c r="I81" s="7">
        <f t="shared" si="38"/>
        <v>0</v>
      </c>
      <c r="J81" s="7">
        <f t="shared" si="39"/>
        <v>0</v>
      </c>
      <c r="K81" s="7">
        <f t="shared" si="40"/>
        <v>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 t="str">
        <f t="shared" si="35"/>
        <v>Tathy</v>
      </c>
      <c r="B82" s="3"/>
      <c r="C82" s="3"/>
      <c r="D82" s="3"/>
      <c r="E82" s="3"/>
      <c r="F82" s="3"/>
      <c r="G82" s="7">
        <f t="shared" si="36"/>
        <v>0</v>
      </c>
      <c r="H82" s="7">
        <f t="shared" si="37"/>
        <v>0</v>
      </c>
      <c r="I82" s="7">
        <f t="shared" si="38"/>
        <v>0</v>
      </c>
      <c r="J82" s="7">
        <f t="shared" si="39"/>
        <v>0</v>
      </c>
      <c r="K82" s="7">
        <f t="shared" si="40"/>
        <v>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>
        <f>SUM(B74:B82)</f>
        <v>572.74</v>
      </c>
      <c r="C83" s="3"/>
      <c r="D83" s="7">
        <f t="shared" ref="D83:K83" si="41">SUM(D74:D82)</f>
        <v>2889.29</v>
      </c>
      <c r="E83" s="7">
        <f t="shared" si="41"/>
        <v>2889.29</v>
      </c>
      <c r="F83" s="7">
        <f t="shared" si="41"/>
        <v>0.92</v>
      </c>
      <c r="G83" s="7">
        <f t="shared" si="41"/>
        <v>0</v>
      </c>
      <c r="H83" s="7">
        <f t="shared" si="41"/>
        <v>0.92</v>
      </c>
      <c r="I83" s="7">
        <f t="shared" si="41"/>
        <v>2500</v>
      </c>
      <c r="J83" s="7">
        <f t="shared" si="41"/>
        <v>5962.03</v>
      </c>
      <c r="K83" s="7">
        <f t="shared" si="41"/>
        <v>3072.74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6">
      <c r="A86" s="3" t="s">
        <v>0</v>
      </c>
      <c r="B86" s="12">
        <f>B72+1</f>
        <v>45998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 t="s">
        <v>1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7</v>
      </c>
      <c r="I87" s="3" t="s">
        <v>8</v>
      </c>
      <c r="J87" s="3" t="s">
        <v>9</v>
      </c>
      <c r="K87" s="3" t="s">
        <v>10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tr">
        <f t="shared" ref="A88:A96" si="42">A74</f>
        <v>Ricardo </v>
      </c>
      <c r="B88" s="5"/>
      <c r="C88" s="3"/>
      <c r="D88" s="4"/>
      <c r="E88" s="4"/>
      <c r="F88" s="3"/>
      <c r="G88" s="7">
        <f t="shared" ref="G88:G96" si="43">D88-E88</f>
        <v>0</v>
      </c>
      <c r="H88" s="7">
        <f t="shared" ref="H88:H96" si="44">G88+F88</f>
        <v>0</v>
      </c>
      <c r="I88" s="7">
        <f t="shared" ref="I88:I96" si="45">C88*500</f>
        <v>0</v>
      </c>
      <c r="J88" s="7">
        <f t="shared" ref="J88:J96" si="46">I88+E88+B88</f>
        <v>0</v>
      </c>
      <c r="K88" s="7">
        <f t="shared" ref="K88:K96" si="47">I88+B88</f>
        <v>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tr">
        <f t="shared" si="42"/>
        <v>rosa</v>
      </c>
      <c r="B89" s="4"/>
      <c r="C89" s="4"/>
      <c r="D89" s="4"/>
      <c r="E89" s="4"/>
      <c r="F89" s="3"/>
      <c r="G89" s="7">
        <f t="shared" si="43"/>
        <v>0</v>
      </c>
      <c r="H89" s="7">
        <f t="shared" si="44"/>
        <v>0</v>
      </c>
      <c r="I89" s="7">
        <f t="shared" si="45"/>
        <v>0</v>
      </c>
      <c r="J89" s="7">
        <f t="shared" si="46"/>
        <v>0</v>
      </c>
      <c r="K89" s="7">
        <f t="shared" si="47"/>
        <v>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tr">
        <f t="shared" si="42"/>
        <v>Gloria </v>
      </c>
      <c r="B90" s="3"/>
      <c r="C90" s="3"/>
      <c r="D90" s="3"/>
      <c r="E90" s="3"/>
      <c r="F90" s="3"/>
      <c r="G90" s="7">
        <f t="shared" si="43"/>
        <v>0</v>
      </c>
      <c r="H90" s="7">
        <f t="shared" si="44"/>
        <v>0</v>
      </c>
      <c r="I90" s="7">
        <f t="shared" si="45"/>
        <v>0</v>
      </c>
      <c r="J90" s="7">
        <f t="shared" si="46"/>
        <v>0</v>
      </c>
      <c r="K90" s="7">
        <f t="shared" si="47"/>
        <v>0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1" t="str">
        <f t="shared" si="42"/>
        <v>Adriana</v>
      </c>
      <c r="B91" s="3"/>
      <c r="C91" s="3"/>
      <c r="D91" s="3"/>
      <c r="E91" s="3"/>
      <c r="F91" s="3"/>
      <c r="G91" s="7">
        <f t="shared" si="43"/>
        <v>0</v>
      </c>
      <c r="H91" s="7">
        <f t="shared" si="44"/>
        <v>0</v>
      </c>
      <c r="I91" s="7">
        <f t="shared" si="45"/>
        <v>0</v>
      </c>
      <c r="J91" s="7">
        <f t="shared" si="46"/>
        <v>0</v>
      </c>
      <c r="K91" s="7">
        <f t="shared" si="47"/>
        <v>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1" t="str">
        <f t="shared" si="42"/>
        <v>diana</v>
      </c>
      <c r="B92" s="14">
        <v>477.3</v>
      </c>
      <c r="C92" s="7">
        <v>6.0</v>
      </c>
      <c r="D92" s="14">
        <v>3305.85</v>
      </c>
      <c r="E92" s="14">
        <v>3305.85</v>
      </c>
      <c r="F92" s="7">
        <v>0.21</v>
      </c>
      <c r="G92" s="7">
        <f t="shared" si="43"/>
        <v>0</v>
      </c>
      <c r="H92" s="7">
        <f t="shared" si="44"/>
        <v>0.21</v>
      </c>
      <c r="I92" s="7">
        <f t="shared" si="45"/>
        <v>3000</v>
      </c>
      <c r="J92" s="7">
        <f t="shared" si="46"/>
        <v>6783.15</v>
      </c>
      <c r="K92" s="7">
        <f t="shared" si="47"/>
        <v>3477.3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1" t="str">
        <f t="shared" si="42"/>
        <v>Andrea</v>
      </c>
      <c r="B93" s="3"/>
      <c r="C93" s="3"/>
      <c r="D93" s="3"/>
      <c r="E93" s="3"/>
      <c r="F93" s="3"/>
      <c r="G93" s="7">
        <f t="shared" si="43"/>
        <v>0</v>
      </c>
      <c r="H93" s="7">
        <f t="shared" si="44"/>
        <v>0</v>
      </c>
      <c r="I93" s="7">
        <f t="shared" si="45"/>
        <v>0</v>
      </c>
      <c r="J93" s="7">
        <f t="shared" si="46"/>
        <v>0</v>
      </c>
      <c r="K93" s="7">
        <f t="shared" si="47"/>
        <v>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1" t="str">
        <f t="shared" si="42"/>
        <v>Erick</v>
      </c>
      <c r="B94" s="13">
        <v>173.7</v>
      </c>
      <c r="C94" s="7">
        <v>1.0</v>
      </c>
      <c r="D94" s="7">
        <v>651.27</v>
      </c>
      <c r="E94" s="7">
        <v>651.27</v>
      </c>
      <c r="F94" s="7">
        <v>0.13</v>
      </c>
      <c r="G94" s="7">
        <f t="shared" si="43"/>
        <v>0</v>
      </c>
      <c r="H94" s="7">
        <f t="shared" si="44"/>
        <v>0.13</v>
      </c>
      <c r="I94" s="7">
        <f t="shared" si="45"/>
        <v>500</v>
      </c>
      <c r="J94" s="7">
        <f t="shared" si="46"/>
        <v>1324.97</v>
      </c>
      <c r="K94" s="7">
        <f t="shared" si="47"/>
        <v>673.7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 t="str">
        <f t="shared" si="42"/>
        <v>Carlos</v>
      </c>
      <c r="B95" s="3"/>
      <c r="C95" s="3"/>
      <c r="D95" s="3"/>
      <c r="E95" s="3"/>
      <c r="F95" s="3"/>
      <c r="G95" s="7">
        <f t="shared" si="43"/>
        <v>0</v>
      </c>
      <c r="H95" s="7">
        <f t="shared" si="44"/>
        <v>0</v>
      </c>
      <c r="I95" s="7">
        <f t="shared" si="45"/>
        <v>0</v>
      </c>
      <c r="J95" s="7">
        <f t="shared" si="46"/>
        <v>0</v>
      </c>
      <c r="K95" s="7">
        <f t="shared" si="47"/>
        <v>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 t="str">
        <f t="shared" si="42"/>
        <v>Tathy</v>
      </c>
      <c r="B96" s="3"/>
      <c r="C96" s="3"/>
      <c r="D96" s="3"/>
      <c r="E96" s="3"/>
      <c r="F96" s="3"/>
      <c r="G96" s="7">
        <f t="shared" si="43"/>
        <v>0</v>
      </c>
      <c r="H96" s="7">
        <f t="shared" si="44"/>
        <v>0</v>
      </c>
      <c r="I96" s="7">
        <f t="shared" si="45"/>
        <v>0</v>
      </c>
      <c r="J96" s="7">
        <f t="shared" si="46"/>
        <v>0</v>
      </c>
      <c r="K96" s="7">
        <f t="shared" si="47"/>
        <v>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>
        <f>SUM(B88:B96)</f>
        <v>651</v>
      </c>
      <c r="C97" s="3"/>
      <c r="D97" s="7">
        <f t="shared" ref="D97:K97" si="48">SUM(D88:D96)</f>
        <v>3957.12</v>
      </c>
      <c r="E97" s="7">
        <f t="shared" si="48"/>
        <v>3957.12</v>
      </c>
      <c r="F97" s="7">
        <f t="shared" si="48"/>
        <v>0.34</v>
      </c>
      <c r="G97" s="7">
        <f t="shared" si="48"/>
        <v>0</v>
      </c>
      <c r="H97" s="7">
        <f t="shared" si="48"/>
        <v>0.34</v>
      </c>
      <c r="I97" s="7">
        <f t="shared" si="48"/>
        <v>3500</v>
      </c>
      <c r="J97" s="7">
        <f t="shared" si="48"/>
        <v>8108.12</v>
      </c>
      <c r="K97" s="7">
        <f t="shared" si="48"/>
        <v>4151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100">
      <c r="A100" s="3" t="s">
        <v>0</v>
      </c>
      <c r="B100" s="12">
        <f>B86+1</f>
        <v>45999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3" t="s">
        <v>6</v>
      </c>
      <c r="H101" s="3" t="s">
        <v>7</v>
      </c>
      <c r="I101" s="3" t="s">
        <v>8</v>
      </c>
      <c r="J101" s="3" t="s">
        <v>9</v>
      </c>
      <c r="K101" s="3" t="s">
        <v>10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tr">
        <f t="shared" ref="A102:A110" si="49">A88</f>
        <v>Ricardo </v>
      </c>
      <c r="B102" s="10"/>
      <c r="C102" s="3"/>
      <c r="D102" s="3"/>
      <c r="E102" s="3"/>
      <c r="F102" s="3"/>
      <c r="G102" s="7">
        <f t="shared" ref="G102:G110" si="50">D102-E102</f>
        <v>0</v>
      </c>
      <c r="H102" s="7">
        <f t="shared" ref="H102:H110" si="51">G102+F102</f>
        <v>0</v>
      </c>
      <c r="I102" s="7">
        <f t="shared" ref="I102:I110" si="52">C102*500</f>
        <v>0</v>
      </c>
      <c r="J102" s="7">
        <f t="shared" ref="J102:J110" si="53">I102+E102+B102</f>
        <v>0</v>
      </c>
      <c r="K102" s="7">
        <f t="shared" ref="K102:K110" si="54">I102+B102</f>
        <v>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tr">
        <f t="shared" si="49"/>
        <v>rosa</v>
      </c>
      <c r="B103" s="7">
        <v>218.5</v>
      </c>
      <c r="C103" s="7">
        <v>4.0</v>
      </c>
      <c r="D103" s="7">
        <v>2219.18</v>
      </c>
      <c r="E103" s="7">
        <v>2219.18</v>
      </c>
      <c r="F103" s="8">
        <v>-0.68</v>
      </c>
      <c r="G103" s="7">
        <f t="shared" si="50"/>
        <v>0</v>
      </c>
      <c r="H103" s="7">
        <f t="shared" si="51"/>
        <v>-0.68</v>
      </c>
      <c r="I103" s="7">
        <f t="shared" si="52"/>
        <v>2000</v>
      </c>
      <c r="J103" s="7">
        <f t="shared" si="53"/>
        <v>4437.68</v>
      </c>
      <c r="K103" s="7">
        <f t="shared" si="54"/>
        <v>2218.5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tr">
        <f t="shared" si="49"/>
        <v>Gloria </v>
      </c>
      <c r="B104" s="3"/>
      <c r="C104" s="3"/>
      <c r="D104" s="3"/>
      <c r="E104" s="3"/>
      <c r="F104" s="3"/>
      <c r="G104" s="7">
        <f t="shared" si="50"/>
        <v>0</v>
      </c>
      <c r="H104" s="7">
        <f t="shared" si="51"/>
        <v>0</v>
      </c>
      <c r="I104" s="7">
        <f t="shared" si="52"/>
        <v>0</v>
      </c>
      <c r="J104" s="7">
        <f t="shared" si="53"/>
        <v>0</v>
      </c>
      <c r="K104" s="7">
        <f t="shared" si="54"/>
        <v>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tr">
        <f t="shared" si="49"/>
        <v>Adriana</v>
      </c>
      <c r="B105" s="3"/>
      <c r="C105" s="3"/>
      <c r="D105" s="3"/>
      <c r="E105" s="3"/>
      <c r="F105" s="3"/>
      <c r="G105" s="7">
        <f t="shared" si="50"/>
        <v>0</v>
      </c>
      <c r="H105" s="7">
        <f t="shared" si="51"/>
        <v>0</v>
      </c>
      <c r="I105" s="7">
        <f t="shared" si="52"/>
        <v>0</v>
      </c>
      <c r="J105" s="7">
        <f t="shared" si="53"/>
        <v>0</v>
      </c>
      <c r="K105" s="7">
        <f t="shared" si="54"/>
        <v>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tr">
        <f t="shared" si="49"/>
        <v>diana</v>
      </c>
      <c r="B106" s="3"/>
      <c r="C106" s="3"/>
      <c r="D106" s="3"/>
      <c r="E106" s="3"/>
      <c r="F106" s="3"/>
      <c r="G106" s="7">
        <f t="shared" si="50"/>
        <v>0</v>
      </c>
      <c r="H106" s="7">
        <f t="shared" si="51"/>
        <v>0</v>
      </c>
      <c r="I106" s="7">
        <f t="shared" si="52"/>
        <v>0</v>
      </c>
      <c r="J106" s="7">
        <f t="shared" si="53"/>
        <v>0</v>
      </c>
      <c r="K106" s="7">
        <f t="shared" si="54"/>
        <v>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tr">
        <f t="shared" si="49"/>
        <v>Andrea</v>
      </c>
      <c r="B107" s="3"/>
      <c r="C107" s="3"/>
      <c r="D107" s="3"/>
      <c r="E107" s="3"/>
      <c r="F107" s="3"/>
      <c r="G107" s="7">
        <f t="shared" si="50"/>
        <v>0</v>
      </c>
      <c r="H107" s="7">
        <f t="shared" si="51"/>
        <v>0</v>
      </c>
      <c r="I107" s="7">
        <f t="shared" si="52"/>
        <v>0</v>
      </c>
      <c r="J107" s="7">
        <f t="shared" si="53"/>
        <v>0</v>
      </c>
      <c r="K107" s="7">
        <f t="shared" si="54"/>
        <v>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tr">
        <f t="shared" si="49"/>
        <v>Erick</v>
      </c>
      <c r="B108" s="13">
        <v>197.95</v>
      </c>
      <c r="C108" s="7">
        <v>2.0</v>
      </c>
      <c r="D108" s="7">
        <v>1275.89</v>
      </c>
      <c r="E108" s="7">
        <v>1275.89</v>
      </c>
      <c r="F108" s="7">
        <v>0.27</v>
      </c>
      <c r="G108" s="7">
        <f t="shared" si="50"/>
        <v>0</v>
      </c>
      <c r="H108" s="7">
        <f t="shared" si="51"/>
        <v>0.27</v>
      </c>
      <c r="I108" s="7">
        <f t="shared" si="52"/>
        <v>1000</v>
      </c>
      <c r="J108" s="7">
        <f t="shared" si="53"/>
        <v>2473.84</v>
      </c>
      <c r="K108" s="7">
        <f t="shared" si="54"/>
        <v>1197.95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 t="str">
        <f t="shared" si="49"/>
        <v>Carlos</v>
      </c>
      <c r="B109" s="7">
        <v>354.57</v>
      </c>
      <c r="C109" s="7">
        <v>1.0</v>
      </c>
      <c r="D109" s="7">
        <v>1120.44</v>
      </c>
      <c r="E109" s="7">
        <v>1120.44</v>
      </c>
      <c r="F109" s="3"/>
      <c r="G109" s="7">
        <f t="shared" si="50"/>
        <v>0</v>
      </c>
      <c r="H109" s="7">
        <f t="shared" si="51"/>
        <v>0</v>
      </c>
      <c r="I109" s="7">
        <f t="shared" si="52"/>
        <v>500</v>
      </c>
      <c r="J109" s="7">
        <f t="shared" si="53"/>
        <v>1975.01</v>
      </c>
      <c r="K109" s="7">
        <f t="shared" si="54"/>
        <v>854.57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 t="str">
        <f t="shared" si="49"/>
        <v>Tathy</v>
      </c>
      <c r="B110" s="3"/>
      <c r="C110" s="3"/>
      <c r="D110" s="3"/>
      <c r="E110" s="3"/>
      <c r="F110" s="3"/>
      <c r="G110" s="7">
        <f t="shared" si="50"/>
        <v>0</v>
      </c>
      <c r="H110" s="7">
        <f t="shared" si="51"/>
        <v>0</v>
      </c>
      <c r="I110" s="7">
        <f t="shared" si="52"/>
        <v>0</v>
      </c>
      <c r="J110" s="7">
        <f t="shared" si="53"/>
        <v>0</v>
      </c>
      <c r="K110" s="7">
        <f t="shared" si="54"/>
        <v>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>
        <f>SUM(B102:B110)</f>
        <v>771.02</v>
      </c>
      <c r="C111" s="3"/>
      <c r="D111" s="7">
        <f t="shared" ref="D111:K111" si="55">SUM(D102:D110)</f>
        <v>4615.51</v>
      </c>
      <c r="E111" s="7">
        <f t="shared" si="55"/>
        <v>4615.51</v>
      </c>
      <c r="F111" s="7">
        <f t="shared" si="55"/>
        <v>-0.41</v>
      </c>
      <c r="G111" s="7">
        <f t="shared" si="55"/>
        <v>0</v>
      </c>
      <c r="H111" s="7">
        <f t="shared" si="55"/>
        <v>-0.41</v>
      </c>
      <c r="I111" s="7">
        <f t="shared" si="55"/>
        <v>3500</v>
      </c>
      <c r="J111" s="7">
        <f t="shared" si="55"/>
        <v>8886.53</v>
      </c>
      <c r="K111" s="7">
        <f t="shared" si="55"/>
        <v>4271.02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4">
      <c r="A114" s="3" t="s">
        <v>0</v>
      </c>
      <c r="B114" s="12">
        <f>B100+1</f>
        <v>46000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 t="s">
        <v>1</v>
      </c>
      <c r="C115" s="3" t="s">
        <v>2</v>
      </c>
      <c r="D115" s="3" t="s">
        <v>3</v>
      </c>
      <c r="E115" s="3" t="s">
        <v>4</v>
      </c>
      <c r="F115" s="3" t="s">
        <v>5</v>
      </c>
      <c r="G115" s="3" t="s">
        <v>6</v>
      </c>
      <c r="H115" s="3" t="s">
        <v>7</v>
      </c>
      <c r="I115" s="3" t="s">
        <v>8</v>
      </c>
      <c r="J115" s="3" t="s">
        <v>9</v>
      </c>
      <c r="K115" s="3" t="s">
        <v>10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tr">
        <f t="shared" ref="A116:A124" si="56">A102</f>
        <v>Ricardo </v>
      </c>
      <c r="B116" s="10"/>
      <c r="C116" s="3"/>
      <c r="D116" s="3"/>
      <c r="E116" s="3"/>
      <c r="F116" s="3"/>
      <c r="G116" s="7">
        <f t="shared" ref="G116:G124" si="57">D116-E116</f>
        <v>0</v>
      </c>
      <c r="H116" s="7">
        <f t="shared" ref="H116:H124" si="58">G116+F116</f>
        <v>0</v>
      </c>
      <c r="I116" s="7">
        <f t="shared" ref="I116:I124" si="59">C116*500</f>
        <v>0</v>
      </c>
      <c r="J116" s="7">
        <f t="shared" ref="J116:J124" si="60">I116+E116+B116</f>
        <v>0</v>
      </c>
      <c r="K116" s="7">
        <f t="shared" ref="K116:K124" si="61">I116+B116</f>
        <v>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tr">
        <f t="shared" si="56"/>
        <v>rosa</v>
      </c>
      <c r="B117" s="7">
        <v>10.0</v>
      </c>
      <c r="C117" s="7">
        <v>4.0</v>
      </c>
      <c r="D117" s="7">
        <v>1933.66</v>
      </c>
      <c r="E117" s="7">
        <v>1933.66</v>
      </c>
      <c r="F117" s="8">
        <v>2.79</v>
      </c>
      <c r="G117" s="7">
        <f t="shared" si="57"/>
        <v>0</v>
      </c>
      <c r="H117" s="7">
        <f t="shared" si="58"/>
        <v>2.79</v>
      </c>
      <c r="I117" s="7">
        <f t="shared" si="59"/>
        <v>2000</v>
      </c>
      <c r="J117" s="7">
        <f t="shared" si="60"/>
        <v>3943.66</v>
      </c>
      <c r="K117" s="7">
        <f t="shared" si="61"/>
        <v>2010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tr">
        <f t="shared" si="56"/>
        <v>Gloria </v>
      </c>
      <c r="B118" s="3"/>
      <c r="C118" s="3"/>
      <c r="D118" s="3"/>
      <c r="E118" s="3"/>
      <c r="F118" s="3"/>
      <c r="G118" s="7">
        <f t="shared" si="57"/>
        <v>0</v>
      </c>
      <c r="H118" s="7">
        <f t="shared" si="58"/>
        <v>0</v>
      </c>
      <c r="I118" s="7">
        <f t="shared" si="59"/>
        <v>0</v>
      </c>
      <c r="J118" s="7">
        <f t="shared" si="60"/>
        <v>0</v>
      </c>
      <c r="K118" s="7">
        <f t="shared" si="61"/>
        <v>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1" t="str">
        <f t="shared" si="56"/>
        <v>Adriana</v>
      </c>
      <c r="B119" s="3"/>
      <c r="C119" s="3"/>
      <c r="D119" s="3"/>
      <c r="E119" s="3"/>
      <c r="F119" s="3"/>
      <c r="G119" s="7">
        <f t="shared" si="57"/>
        <v>0</v>
      </c>
      <c r="H119" s="7">
        <f t="shared" si="58"/>
        <v>0</v>
      </c>
      <c r="I119" s="7">
        <f t="shared" si="59"/>
        <v>0</v>
      </c>
      <c r="J119" s="7">
        <f t="shared" si="60"/>
        <v>0</v>
      </c>
      <c r="K119" s="7">
        <f t="shared" si="61"/>
        <v>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1" t="str">
        <f t="shared" si="56"/>
        <v>diana</v>
      </c>
      <c r="B120" s="3"/>
      <c r="C120" s="3"/>
      <c r="D120" s="3"/>
      <c r="E120" s="3"/>
      <c r="F120" s="3"/>
      <c r="G120" s="7">
        <f t="shared" si="57"/>
        <v>0</v>
      </c>
      <c r="H120" s="7">
        <f t="shared" si="58"/>
        <v>0</v>
      </c>
      <c r="I120" s="7">
        <f t="shared" si="59"/>
        <v>0</v>
      </c>
      <c r="J120" s="7">
        <f t="shared" si="60"/>
        <v>0</v>
      </c>
      <c r="K120" s="7">
        <f t="shared" si="61"/>
        <v>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1" t="str">
        <f t="shared" si="56"/>
        <v>Andrea</v>
      </c>
      <c r="B121" s="7">
        <v>109.75</v>
      </c>
      <c r="C121" s="7">
        <v>2.0</v>
      </c>
      <c r="D121" s="7">
        <v>1124.72</v>
      </c>
      <c r="E121" s="7">
        <v>1124.72</v>
      </c>
      <c r="F121" s="7">
        <v>0.37</v>
      </c>
      <c r="G121" s="7">
        <f t="shared" si="57"/>
        <v>0</v>
      </c>
      <c r="H121" s="7">
        <f t="shared" si="58"/>
        <v>0.37</v>
      </c>
      <c r="I121" s="7">
        <f t="shared" si="59"/>
        <v>1000</v>
      </c>
      <c r="J121" s="7">
        <f t="shared" si="60"/>
        <v>2234.47</v>
      </c>
      <c r="K121" s="7">
        <f t="shared" si="61"/>
        <v>1109.75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" t="str">
        <f t="shared" si="56"/>
        <v>Erick</v>
      </c>
      <c r="B122" s="3"/>
      <c r="C122" s="3"/>
      <c r="D122" s="3"/>
      <c r="E122" s="3"/>
      <c r="F122" s="3"/>
      <c r="G122" s="7">
        <f t="shared" si="57"/>
        <v>0</v>
      </c>
      <c r="H122" s="7">
        <f t="shared" si="58"/>
        <v>0</v>
      </c>
      <c r="I122" s="7">
        <f t="shared" si="59"/>
        <v>0</v>
      </c>
      <c r="J122" s="7">
        <f t="shared" si="60"/>
        <v>0</v>
      </c>
      <c r="K122" s="7">
        <f t="shared" si="61"/>
        <v>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 t="str">
        <f t="shared" si="56"/>
        <v>Carlos</v>
      </c>
      <c r="B123" s="3"/>
      <c r="C123" s="3"/>
      <c r="D123" s="3"/>
      <c r="E123" s="3"/>
      <c r="F123" s="3"/>
      <c r="G123" s="7">
        <f t="shared" si="57"/>
        <v>0</v>
      </c>
      <c r="H123" s="7">
        <f t="shared" si="58"/>
        <v>0</v>
      </c>
      <c r="I123" s="7">
        <f t="shared" si="59"/>
        <v>0</v>
      </c>
      <c r="J123" s="7">
        <f t="shared" si="60"/>
        <v>0</v>
      </c>
      <c r="K123" s="7">
        <f t="shared" si="61"/>
        <v>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 t="str">
        <f t="shared" si="56"/>
        <v>Tathy</v>
      </c>
      <c r="B124" s="7">
        <v>385.0</v>
      </c>
      <c r="C124" s="3"/>
      <c r="D124" s="7">
        <v>547.86</v>
      </c>
      <c r="E124" s="7">
        <v>547.86</v>
      </c>
      <c r="F124" s="7">
        <v>0.35</v>
      </c>
      <c r="G124" s="7">
        <f t="shared" si="57"/>
        <v>0</v>
      </c>
      <c r="H124" s="7">
        <f t="shared" si="58"/>
        <v>0.35</v>
      </c>
      <c r="I124" s="7">
        <f t="shared" si="59"/>
        <v>0</v>
      </c>
      <c r="J124" s="7">
        <f t="shared" si="60"/>
        <v>932.86</v>
      </c>
      <c r="K124" s="7">
        <f t="shared" si="61"/>
        <v>385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>
        <f>SUM(B116:B124)</f>
        <v>504.75</v>
      </c>
      <c r="C125" s="3"/>
      <c r="D125" s="7">
        <f t="shared" ref="D125:K125" si="62">SUM(D116:D124)</f>
        <v>3606.24</v>
      </c>
      <c r="E125" s="7">
        <f t="shared" si="62"/>
        <v>3606.24</v>
      </c>
      <c r="F125" s="7">
        <f t="shared" si="62"/>
        <v>3.51</v>
      </c>
      <c r="G125" s="7">
        <f t="shared" si="62"/>
        <v>0</v>
      </c>
      <c r="H125" s="7">
        <f t="shared" si="62"/>
        <v>3.51</v>
      </c>
      <c r="I125" s="7">
        <f t="shared" si="62"/>
        <v>3000</v>
      </c>
      <c r="J125" s="7">
        <f t="shared" si="62"/>
        <v>7110.99</v>
      </c>
      <c r="K125" s="7">
        <f t="shared" si="62"/>
        <v>3504.75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8">
      <c r="A128" s="3" t="s">
        <v>0</v>
      </c>
      <c r="B128" s="12">
        <f>B114+1</f>
        <v>46001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 t="s">
        <v>1</v>
      </c>
      <c r="C129" s="3" t="s">
        <v>2</v>
      </c>
      <c r="D129" s="3" t="s">
        <v>3</v>
      </c>
      <c r="E129" s="3" t="s">
        <v>4</v>
      </c>
      <c r="F129" s="3" t="s">
        <v>5</v>
      </c>
      <c r="G129" s="3" t="s">
        <v>6</v>
      </c>
      <c r="H129" s="3" t="s">
        <v>7</v>
      </c>
      <c r="I129" s="3" t="s">
        <v>8</v>
      </c>
      <c r="J129" s="3" t="s">
        <v>9</v>
      </c>
      <c r="K129" s="3" t="s">
        <v>10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tr">
        <f t="shared" ref="A130:A138" si="63">A116</f>
        <v>Ricardo </v>
      </c>
      <c r="B130" s="10"/>
      <c r="C130" s="3"/>
      <c r="D130" s="3"/>
      <c r="E130" s="3"/>
      <c r="F130" s="3"/>
      <c r="G130" s="7">
        <f t="shared" ref="G130:G138" si="64">D130-E130</f>
        <v>0</v>
      </c>
      <c r="H130" s="7">
        <f t="shared" ref="H130:H138" si="65">G130+F130</f>
        <v>0</v>
      </c>
      <c r="I130" s="7">
        <f t="shared" ref="I130:I138" si="66">C130*500</f>
        <v>0</v>
      </c>
      <c r="J130" s="7">
        <f t="shared" ref="J130:J138" si="67">I130+E130+B130</f>
        <v>0</v>
      </c>
      <c r="K130" s="7">
        <f t="shared" ref="K130:K138" si="68">I130+B130</f>
        <v>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tr">
        <f t="shared" si="63"/>
        <v>rosa</v>
      </c>
      <c r="B131" s="7">
        <v>122.0</v>
      </c>
      <c r="C131" s="7">
        <v>3.0</v>
      </c>
      <c r="D131" s="7">
        <v>1942.42</v>
      </c>
      <c r="E131" s="7">
        <v>1942.42</v>
      </c>
      <c r="F131" s="8">
        <v>0.0</v>
      </c>
      <c r="G131" s="7">
        <f t="shared" si="64"/>
        <v>0</v>
      </c>
      <c r="H131" s="7">
        <f t="shared" si="65"/>
        <v>0</v>
      </c>
      <c r="I131" s="7">
        <f t="shared" si="66"/>
        <v>1500</v>
      </c>
      <c r="J131" s="7">
        <f t="shared" si="67"/>
        <v>3564.42</v>
      </c>
      <c r="K131" s="7">
        <f t="shared" si="68"/>
        <v>1622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tr">
        <f t="shared" si="63"/>
        <v>Gloria </v>
      </c>
      <c r="B132" s="3"/>
      <c r="C132" s="3"/>
      <c r="D132" s="3"/>
      <c r="E132" s="3"/>
      <c r="F132" s="3"/>
      <c r="G132" s="7">
        <f t="shared" si="64"/>
        <v>0</v>
      </c>
      <c r="H132" s="7">
        <f t="shared" si="65"/>
        <v>0</v>
      </c>
      <c r="I132" s="7">
        <f t="shared" si="66"/>
        <v>0</v>
      </c>
      <c r="J132" s="7">
        <f t="shared" si="67"/>
        <v>0</v>
      </c>
      <c r="K132" s="7">
        <f t="shared" si="68"/>
        <v>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tr">
        <f t="shared" si="63"/>
        <v>Adriana</v>
      </c>
      <c r="B133" s="3"/>
      <c r="C133" s="3"/>
      <c r="D133" s="3"/>
      <c r="E133" s="3"/>
      <c r="F133" s="3"/>
      <c r="G133" s="7">
        <f t="shared" si="64"/>
        <v>0</v>
      </c>
      <c r="H133" s="7">
        <f t="shared" si="65"/>
        <v>0</v>
      </c>
      <c r="I133" s="7">
        <f t="shared" si="66"/>
        <v>0</v>
      </c>
      <c r="J133" s="7">
        <f t="shared" si="67"/>
        <v>0</v>
      </c>
      <c r="K133" s="7">
        <f t="shared" si="68"/>
        <v>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tr">
        <f t="shared" si="63"/>
        <v>diana</v>
      </c>
      <c r="B134" s="3"/>
      <c r="C134" s="3"/>
      <c r="D134" s="3"/>
      <c r="E134" s="3"/>
      <c r="F134" s="3"/>
      <c r="G134" s="7">
        <f t="shared" si="64"/>
        <v>0</v>
      </c>
      <c r="H134" s="7">
        <f t="shared" si="65"/>
        <v>0</v>
      </c>
      <c r="I134" s="7">
        <f t="shared" si="66"/>
        <v>0</v>
      </c>
      <c r="J134" s="7">
        <f t="shared" si="67"/>
        <v>0</v>
      </c>
      <c r="K134" s="7">
        <f t="shared" si="68"/>
        <v>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tr">
        <f t="shared" si="63"/>
        <v>Andrea</v>
      </c>
      <c r="B135" s="7">
        <v>320.0</v>
      </c>
      <c r="C135" s="7">
        <v>1.0</v>
      </c>
      <c r="D135" s="7">
        <v>1223.94</v>
      </c>
      <c r="E135" s="7">
        <v>1223.94</v>
      </c>
      <c r="F135" s="7">
        <v>2.25</v>
      </c>
      <c r="G135" s="7">
        <f t="shared" si="64"/>
        <v>0</v>
      </c>
      <c r="H135" s="7">
        <f t="shared" si="65"/>
        <v>2.25</v>
      </c>
      <c r="I135" s="7">
        <f t="shared" si="66"/>
        <v>500</v>
      </c>
      <c r="J135" s="7">
        <f t="shared" si="67"/>
        <v>2043.94</v>
      </c>
      <c r="K135" s="7">
        <f t="shared" si="68"/>
        <v>820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tr">
        <f t="shared" si="63"/>
        <v>Erick</v>
      </c>
      <c r="B136" s="3"/>
      <c r="C136" s="3"/>
      <c r="D136" s="3"/>
      <c r="E136" s="3"/>
      <c r="F136" s="3"/>
      <c r="G136" s="7">
        <f t="shared" si="64"/>
        <v>0</v>
      </c>
      <c r="H136" s="7">
        <f t="shared" si="65"/>
        <v>0</v>
      </c>
      <c r="I136" s="7">
        <f t="shared" si="66"/>
        <v>0</v>
      </c>
      <c r="J136" s="7">
        <f t="shared" si="67"/>
        <v>0</v>
      </c>
      <c r="K136" s="7">
        <f t="shared" si="68"/>
        <v>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 t="str">
        <f t="shared" si="63"/>
        <v>Carlos</v>
      </c>
      <c r="B137" s="3"/>
      <c r="C137" s="3"/>
      <c r="D137" s="3"/>
      <c r="E137" s="3"/>
      <c r="F137" s="3"/>
      <c r="G137" s="7">
        <f t="shared" si="64"/>
        <v>0</v>
      </c>
      <c r="H137" s="7">
        <f t="shared" si="65"/>
        <v>0</v>
      </c>
      <c r="I137" s="7">
        <f t="shared" si="66"/>
        <v>0</v>
      </c>
      <c r="J137" s="7">
        <f t="shared" si="67"/>
        <v>0</v>
      </c>
      <c r="K137" s="7">
        <f t="shared" si="68"/>
        <v>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 t="str">
        <f t="shared" si="63"/>
        <v>Tathy</v>
      </c>
      <c r="B138" s="7">
        <v>380.8</v>
      </c>
      <c r="C138" s="7">
        <v>0.0</v>
      </c>
      <c r="D138" s="7">
        <v>398.75</v>
      </c>
      <c r="E138" s="7">
        <v>398.75</v>
      </c>
      <c r="F138" s="7">
        <v>0.81</v>
      </c>
      <c r="G138" s="7">
        <f t="shared" si="64"/>
        <v>0</v>
      </c>
      <c r="H138" s="7">
        <f t="shared" si="65"/>
        <v>0.81</v>
      </c>
      <c r="I138" s="7">
        <f t="shared" si="66"/>
        <v>0</v>
      </c>
      <c r="J138" s="7">
        <f t="shared" si="67"/>
        <v>779.55</v>
      </c>
      <c r="K138" s="7">
        <f t="shared" si="68"/>
        <v>380.8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>
        <f>SUM(B130:B138)</f>
        <v>822.8</v>
      </c>
      <c r="C139" s="3"/>
      <c r="D139" s="7">
        <f t="shared" ref="D139:K139" si="69">SUM(D130:D138)</f>
        <v>3565.11</v>
      </c>
      <c r="E139" s="7">
        <f t="shared" si="69"/>
        <v>3565.11</v>
      </c>
      <c r="F139" s="7">
        <f t="shared" si="69"/>
        <v>3.06</v>
      </c>
      <c r="G139" s="7">
        <f t="shared" si="69"/>
        <v>0</v>
      </c>
      <c r="H139" s="7">
        <f t="shared" si="69"/>
        <v>3.06</v>
      </c>
      <c r="I139" s="7">
        <f t="shared" si="69"/>
        <v>2000</v>
      </c>
      <c r="J139" s="7">
        <f t="shared" si="69"/>
        <v>6387.91</v>
      </c>
      <c r="K139" s="7">
        <f t="shared" si="69"/>
        <v>2822.8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2">
      <c r="A142" s="3" t="s">
        <v>0</v>
      </c>
      <c r="B142" s="12">
        <f>B128+1</f>
        <v>46002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 t="s">
        <v>1</v>
      </c>
      <c r="C143" s="3" t="s">
        <v>2</v>
      </c>
      <c r="D143" s="3" t="s">
        <v>3</v>
      </c>
      <c r="E143" s="3" t="s">
        <v>4</v>
      </c>
      <c r="F143" s="3" t="s">
        <v>5</v>
      </c>
      <c r="G143" s="3" t="s">
        <v>6</v>
      </c>
      <c r="H143" s="3" t="s">
        <v>7</v>
      </c>
      <c r="I143" s="3" t="s">
        <v>8</v>
      </c>
      <c r="J143" s="3" t="s">
        <v>9</v>
      </c>
      <c r="K143" s="3" t="s">
        <v>10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tr">
        <f t="shared" ref="A144:A152" si="70">A130</f>
        <v>Ricardo </v>
      </c>
      <c r="B144" s="10"/>
      <c r="C144" s="3"/>
      <c r="D144" s="3"/>
      <c r="E144" s="3"/>
      <c r="F144" s="3"/>
      <c r="G144" s="7">
        <f t="shared" ref="G144:G152" si="71">D144-E144</f>
        <v>0</v>
      </c>
      <c r="H144" s="7">
        <f t="shared" ref="H144:H152" si="72">G144+F144</f>
        <v>0</v>
      </c>
      <c r="I144" s="7">
        <f t="shared" ref="I144:I152" si="73">C144*500</f>
        <v>0</v>
      </c>
      <c r="J144" s="7">
        <f t="shared" ref="J144:J152" si="74">I144+E144+B144</f>
        <v>0</v>
      </c>
      <c r="K144" s="7">
        <f t="shared" ref="K144:K152" si="75">I144+B144</f>
        <v>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tr">
        <f t="shared" si="70"/>
        <v>rosa</v>
      </c>
      <c r="B145" s="7">
        <v>179.0</v>
      </c>
      <c r="C145" s="7">
        <v>3.0</v>
      </c>
      <c r="D145" s="7">
        <v>1814.36</v>
      </c>
      <c r="E145" s="7">
        <v>1814.36</v>
      </c>
      <c r="F145" s="8">
        <v>-3.5</v>
      </c>
      <c r="G145" s="7">
        <f t="shared" si="71"/>
        <v>0</v>
      </c>
      <c r="H145" s="7">
        <f t="shared" si="72"/>
        <v>-3.5</v>
      </c>
      <c r="I145" s="7">
        <f t="shared" si="73"/>
        <v>1500</v>
      </c>
      <c r="J145" s="7">
        <f t="shared" si="74"/>
        <v>3493.36</v>
      </c>
      <c r="K145" s="7">
        <f t="shared" si="75"/>
        <v>1679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tr">
        <f t="shared" si="70"/>
        <v>Gloria </v>
      </c>
      <c r="B146" s="3"/>
      <c r="C146" s="3"/>
      <c r="D146" s="3"/>
      <c r="E146" s="3"/>
      <c r="F146" s="3"/>
      <c r="G146" s="7">
        <f t="shared" si="71"/>
        <v>0</v>
      </c>
      <c r="H146" s="7">
        <f t="shared" si="72"/>
        <v>0</v>
      </c>
      <c r="I146" s="7">
        <f t="shared" si="73"/>
        <v>0</v>
      </c>
      <c r="J146" s="7">
        <f t="shared" si="74"/>
        <v>0</v>
      </c>
      <c r="K146" s="7">
        <f t="shared" si="75"/>
        <v>0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tr">
        <f t="shared" si="70"/>
        <v>Adriana</v>
      </c>
      <c r="B147" s="3"/>
      <c r="C147" s="3"/>
      <c r="D147" s="3"/>
      <c r="E147" s="3"/>
      <c r="F147" s="3"/>
      <c r="G147" s="7">
        <f t="shared" si="71"/>
        <v>0</v>
      </c>
      <c r="H147" s="7">
        <f t="shared" si="72"/>
        <v>0</v>
      </c>
      <c r="I147" s="7">
        <f t="shared" si="73"/>
        <v>0</v>
      </c>
      <c r="J147" s="7">
        <f t="shared" si="74"/>
        <v>0</v>
      </c>
      <c r="K147" s="7">
        <f t="shared" si="75"/>
        <v>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tr">
        <f t="shared" si="70"/>
        <v>diana</v>
      </c>
      <c r="B148" s="3"/>
      <c r="C148" s="3"/>
      <c r="D148" s="3"/>
      <c r="E148" s="3"/>
      <c r="F148" s="3"/>
      <c r="G148" s="7">
        <f t="shared" si="71"/>
        <v>0</v>
      </c>
      <c r="H148" s="7">
        <f t="shared" si="72"/>
        <v>0</v>
      </c>
      <c r="I148" s="7">
        <f t="shared" si="73"/>
        <v>0</v>
      </c>
      <c r="J148" s="7">
        <f t="shared" si="74"/>
        <v>0</v>
      </c>
      <c r="K148" s="7">
        <f t="shared" si="75"/>
        <v>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tr">
        <f t="shared" si="70"/>
        <v>Andrea</v>
      </c>
      <c r="B149" s="7">
        <v>125.27</v>
      </c>
      <c r="C149" s="7">
        <v>2.0</v>
      </c>
      <c r="D149" s="7">
        <v>1157.35</v>
      </c>
      <c r="E149" s="7">
        <v>1157.35</v>
      </c>
      <c r="F149" s="7">
        <v>-0.35</v>
      </c>
      <c r="G149" s="7">
        <f t="shared" si="71"/>
        <v>0</v>
      </c>
      <c r="H149" s="7">
        <f t="shared" si="72"/>
        <v>-0.35</v>
      </c>
      <c r="I149" s="7">
        <f t="shared" si="73"/>
        <v>1000</v>
      </c>
      <c r="J149" s="7">
        <f t="shared" si="74"/>
        <v>2282.62</v>
      </c>
      <c r="K149" s="7">
        <f t="shared" si="75"/>
        <v>1125.27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tr">
        <f t="shared" si="70"/>
        <v>Erick</v>
      </c>
      <c r="B150" s="3"/>
      <c r="C150" s="3"/>
      <c r="D150" s="3"/>
      <c r="E150" s="3"/>
      <c r="F150" s="3"/>
      <c r="G150" s="7">
        <f t="shared" si="71"/>
        <v>0</v>
      </c>
      <c r="H150" s="7">
        <f t="shared" si="72"/>
        <v>0</v>
      </c>
      <c r="I150" s="7">
        <f t="shared" si="73"/>
        <v>0</v>
      </c>
      <c r="J150" s="7">
        <f t="shared" si="74"/>
        <v>0</v>
      </c>
      <c r="K150" s="7">
        <f t="shared" si="75"/>
        <v>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tr">
        <f t="shared" si="70"/>
        <v>Carlos</v>
      </c>
      <c r="B151" s="3"/>
      <c r="C151" s="3"/>
      <c r="D151" s="3"/>
      <c r="E151" s="3"/>
      <c r="F151" s="3"/>
      <c r="G151" s="7">
        <f t="shared" si="71"/>
        <v>0</v>
      </c>
      <c r="H151" s="7">
        <f t="shared" si="72"/>
        <v>0</v>
      </c>
      <c r="I151" s="7">
        <f t="shared" si="73"/>
        <v>0</v>
      </c>
      <c r="J151" s="7">
        <f t="shared" si="74"/>
        <v>0</v>
      </c>
      <c r="K151" s="7">
        <f t="shared" si="75"/>
        <v>0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tr">
        <f t="shared" si="70"/>
        <v>Tathy</v>
      </c>
      <c r="B152" s="7">
        <v>217.55</v>
      </c>
      <c r="C152" s="7">
        <v>0.0</v>
      </c>
      <c r="D152" s="7">
        <v>165.32</v>
      </c>
      <c r="E152" s="7">
        <v>165.32</v>
      </c>
      <c r="F152" s="7">
        <v>0.26</v>
      </c>
      <c r="G152" s="7">
        <f t="shared" si="71"/>
        <v>0</v>
      </c>
      <c r="H152" s="7">
        <f t="shared" si="72"/>
        <v>0.26</v>
      </c>
      <c r="I152" s="7">
        <f t="shared" si="73"/>
        <v>0</v>
      </c>
      <c r="J152" s="7">
        <f t="shared" si="74"/>
        <v>382.87</v>
      </c>
      <c r="K152" s="7">
        <f t="shared" si="75"/>
        <v>217.55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>
        <f>SUM(B144:B152)</f>
        <v>521.82</v>
      </c>
      <c r="C153" s="3"/>
      <c r="D153" s="7">
        <f t="shared" ref="D153:K153" si="76">SUM(D144:D152)</f>
        <v>3137.03</v>
      </c>
      <c r="E153" s="7">
        <f t="shared" si="76"/>
        <v>3137.03</v>
      </c>
      <c r="F153" s="7">
        <f t="shared" si="76"/>
        <v>-3.59</v>
      </c>
      <c r="G153" s="7">
        <f t="shared" si="76"/>
        <v>0</v>
      </c>
      <c r="H153" s="7">
        <f t="shared" si="76"/>
        <v>-3.59</v>
      </c>
      <c r="I153" s="7">
        <f t="shared" si="76"/>
        <v>2500</v>
      </c>
      <c r="J153" s="7">
        <f t="shared" si="76"/>
        <v>6158.85</v>
      </c>
      <c r="K153" s="7">
        <f t="shared" si="76"/>
        <v>3021.82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6">
      <c r="A156" s="3" t="s">
        <v>0</v>
      </c>
      <c r="B156" s="12">
        <f>B142+1</f>
        <v>46003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tr">
        <f t="shared" ref="A158:A166" si="77">A144</f>
        <v>Ricardo </v>
      </c>
      <c r="B158" s="10"/>
      <c r="C158" s="3"/>
      <c r="D158" s="3"/>
      <c r="E158" s="3"/>
      <c r="F158" s="3"/>
      <c r="G158" s="7">
        <f t="shared" ref="G158:G166" si="78">D158-E158</f>
        <v>0</v>
      </c>
      <c r="H158" s="7">
        <f t="shared" ref="H158:H166" si="79">G158+F158</f>
        <v>0</v>
      </c>
      <c r="I158" s="7">
        <f t="shared" ref="I158:I166" si="80">C158*500</f>
        <v>0</v>
      </c>
      <c r="J158" s="7">
        <f t="shared" ref="J158:J166" si="81">I158+E158+B158</f>
        <v>0</v>
      </c>
      <c r="K158" s="7">
        <f t="shared" ref="K158:K166" si="82">I158+B158</f>
        <v>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tr">
        <f t="shared" si="77"/>
        <v>rosa</v>
      </c>
      <c r="B159" s="7">
        <v>31.0</v>
      </c>
      <c r="C159" s="7">
        <v>3.0</v>
      </c>
      <c r="D159" s="7">
        <v>1849.86</v>
      </c>
      <c r="E159" s="7">
        <v>1849.86</v>
      </c>
      <c r="F159" s="8">
        <v>-0.5</v>
      </c>
      <c r="G159" s="7">
        <f t="shared" si="78"/>
        <v>0</v>
      </c>
      <c r="H159" s="7">
        <f t="shared" si="79"/>
        <v>-0.5</v>
      </c>
      <c r="I159" s="7">
        <f t="shared" si="80"/>
        <v>1500</v>
      </c>
      <c r="J159" s="7">
        <f t="shared" si="81"/>
        <v>3380.86</v>
      </c>
      <c r="K159" s="7">
        <f t="shared" si="82"/>
        <v>1531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tr">
        <f t="shared" si="77"/>
        <v>Gloria </v>
      </c>
      <c r="B160" s="3"/>
      <c r="C160" s="3"/>
      <c r="D160" s="3"/>
      <c r="E160" s="3"/>
      <c r="F160" s="3"/>
      <c r="G160" s="7">
        <f t="shared" si="78"/>
        <v>0</v>
      </c>
      <c r="H160" s="7">
        <f t="shared" si="79"/>
        <v>0</v>
      </c>
      <c r="I160" s="7">
        <f t="shared" si="80"/>
        <v>0</v>
      </c>
      <c r="J160" s="7">
        <f t="shared" si="81"/>
        <v>0</v>
      </c>
      <c r="K160" s="7">
        <f t="shared" si="82"/>
        <v>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tr">
        <f t="shared" si="77"/>
        <v>Adriana</v>
      </c>
      <c r="B161" s="3"/>
      <c r="C161" s="3"/>
      <c r="D161" s="3"/>
      <c r="E161" s="3"/>
      <c r="F161" s="3"/>
      <c r="G161" s="7">
        <f t="shared" si="78"/>
        <v>0</v>
      </c>
      <c r="H161" s="7">
        <f t="shared" si="79"/>
        <v>0</v>
      </c>
      <c r="I161" s="7">
        <f t="shared" si="80"/>
        <v>0</v>
      </c>
      <c r="J161" s="7">
        <f t="shared" si="81"/>
        <v>0</v>
      </c>
      <c r="K161" s="7">
        <f t="shared" si="82"/>
        <v>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tr">
        <f t="shared" si="77"/>
        <v>diana</v>
      </c>
      <c r="B162" s="3"/>
      <c r="C162" s="3"/>
      <c r="D162" s="3"/>
      <c r="E162" s="3"/>
      <c r="F162" s="3"/>
      <c r="G162" s="7">
        <f t="shared" si="78"/>
        <v>0</v>
      </c>
      <c r="H162" s="7">
        <f t="shared" si="79"/>
        <v>0</v>
      </c>
      <c r="I162" s="7">
        <f t="shared" si="80"/>
        <v>0</v>
      </c>
      <c r="J162" s="7">
        <f t="shared" si="81"/>
        <v>0</v>
      </c>
      <c r="K162" s="7">
        <f t="shared" si="82"/>
        <v>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tr">
        <f t="shared" si="77"/>
        <v>Andrea</v>
      </c>
      <c r="B163" s="7">
        <v>176.11</v>
      </c>
      <c r="C163" s="7">
        <v>2.0</v>
      </c>
      <c r="D163" s="7">
        <v>906.94</v>
      </c>
      <c r="E163" s="7">
        <v>906.94</v>
      </c>
      <c r="F163" s="7">
        <v>0.13</v>
      </c>
      <c r="G163" s="7">
        <f t="shared" si="78"/>
        <v>0</v>
      </c>
      <c r="H163" s="7">
        <f t="shared" si="79"/>
        <v>0.13</v>
      </c>
      <c r="I163" s="7">
        <f t="shared" si="80"/>
        <v>1000</v>
      </c>
      <c r="J163" s="7">
        <f t="shared" si="81"/>
        <v>2083.05</v>
      </c>
      <c r="K163" s="7">
        <f t="shared" si="82"/>
        <v>1176.11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tr">
        <f t="shared" si="77"/>
        <v>Erick</v>
      </c>
      <c r="B164" s="3"/>
      <c r="C164" s="3"/>
      <c r="D164" s="3"/>
      <c r="E164" s="3"/>
      <c r="F164" s="3"/>
      <c r="G164" s="7">
        <f t="shared" si="78"/>
        <v>0</v>
      </c>
      <c r="H164" s="7">
        <f t="shared" si="79"/>
        <v>0</v>
      </c>
      <c r="I164" s="7">
        <f t="shared" si="80"/>
        <v>0</v>
      </c>
      <c r="J164" s="7">
        <f t="shared" si="81"/>
        <v>0</v>
      </c>
      <c r="K164" s="7">
        <f t="shared" si="82"/>
        <v>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tr">
        <f t="shared" si="77"/>
        <v>Carlos</v>
      </c>
      <c r="B165" s="7">
        <v>244.55</v>
      </c>
      <c r="C165" s="7">
        <v>0.0</v>
      </c>
      <c r="D165" s="7">
        <v>388.55</v>
      </c>
      <c r="E165" s="7">
        <v>388.55</v>
      </c>
      <c r="F165" s="7">
        <v>-0.13</v>
      </c>
      <c r="G165" s="7">
        <f t="shared" si="78"/>
        <v>0</v>
      </c>
      <c r="H165" s="7">
        <f t="shared" si="79"/>
        <v>-0.13</v>
      </c>
      <c r="I165" s="7">
        <f t="shared" si="80"/>
        <v>0</v>
      </c>
      <c r="J165" s="7">
        <f t="shared" si="81"/>
        <v>633.1</v>
      </c>
      <c r="K165" s="7">
        <f t="shared" si="82"/>
        <v>244.55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tr">
        <f t="shared" si="77"/>
        <v>Tathy</v>
      </c>
      <c r="B166" s="7">
        <v>336.92</v>
      </c>
      <c r="C166" s="7">
        <v>0.0</v>
      </c>
      <c r="D166" s="7">
        <v>244.3</v>
      </c>
      <c r="E166" s="7">
        <v>244.3</v>
      </c>
      <c r="F166" s="7">
        <v>-3.71</v>
      </c>
      <c r="G166" s="7">
        <f t="shared" si="78"/>
        <v>0</v>
      </c>
      <c r="H166" s="7">
        <f t="shared" si="79"/>
        <v>-3.71</v>
      </c>
      <c r="I166" s="7">
        <f t="shared" si="80"/>
        <v>0</v>
      </c>
      <c r="J166" s="7">
        <f t="shared" si="81"/>
        <v>581.22</v>
      </c>
      <c r="K166" s="7">
        <f t="shared" si="82"/>
        <v>336.92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>
        <f>SUM(B158:B166)</f>
        <v>788.58</v>
      </c>
      <c r="C167" s="3"/>
      <c r="D167" s="7">
        <f t="shared" ref="D167:K167" si="83">SUM(D158:D166)</f>
        <v>3389.65</v>
      </c>
      <c r="E167" s="7">
        <f t="shared" si="83"/>
        <v>3389.65</v>
      </c>
      <c r="F167" s="7">
        <f t="shared" si="83"/>
        <v>-4.21</v>
      </c>
      <c r="G167" s="7">
        <f t="shared" si="83"/>
        <v>0</v>
      </c>
      <c r="H167" s="7">
        <f t="shared" si="83"/>
        <v>-4.21</v>
      </c>
      <c r="I167" s="7">
        <f t="shared" si="83"/>
        <v>2500</v>
      </c>
      <c r="J167" s="7">
        <f t="shared" si="83"/>
        <v>6678.23</v>
      </c>
      <c r="K167" s="7">
        <f t="shared" si="83"/>
        <v>3288.58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70">
      <c r="A170" s="3" t="s">
        <v>0</v>
      </c>
      <c r="B170" s="12">
        <f>B156+1</f>
        <v>46004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 t="s">
        <v>1</v>
      </c>
      <c r="C171" s="3" t="s">
        <v>2</v>
      </c>
      <c r="D171" s="3" t="s">
        <v>3</v>
      </c>
      <c r="E171" s="3" t="s">
        <v>4</v>
      </c>
      <c r="F171" s="3" t="s">
        <v>5</v>
      </c>
      <c r="G171" s="3" t="s">
        <v>6</v>
      </c>
      <c r="H171" s="3" t="s">
        <v>7</v>
      </c>
      <c r="I171" s="3" t="s">
        <v>8</v>
      </c>
      <c r="J171" s="3" t="s">
        <v>9</v>
      </c>
      <c r="K171" s="3" t="s">
        <v>10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tr">
        <f t="shared" ref="A172:A180" si="84">A158</f>
        <v>Ricardo </v>
      </c>
      <c r="B172" s="3"/>
      <c r="C172" s="3"/>
      <c r="D172" s="3"/>
      <c r="E172" s="3"/>
      <c r="F172" s="3"/>
      <c r="G172" s="7">
        <f t="shared" ref="G172:G180" si="85">D172-E172</f>
        <v>0</v>
      </c>
      <c r="H172" s="7">
        <f t="shared" ref="H172:H180" si="86">G172+F172</f>
        <v>0</v>
      </c>
      <c r="I172" s="7">
        <f t="shared" ref="I172:I180" si="87">C172*500</f>
        <v>0</v>
      </c>
      <c r="J172" s="7">
        <f t="shared" ref="J172:J180" si="88">I172+E172+B172</f>
        <v>0</v>
      </c>
      <c r="K172" s="7">
        <f t="shared" ref="K172:K180" si="89">I172+B172</f>
        <v>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tr">
        <f t="shared" si="84"/>
        <v>rosa</v>
      </c>
      <c r="B173" s="3"/>
      <c r="C173" s="3"/>
      <c r="D173" s="3"/>
      <c r="E173" s="3"/>
      <c r="F173" s="3"/>
      <c r="G173" s="7">
        <f t="shared" si="85"/>
        <v>0</v>
      </c>
      <c r="H173" s="7">
        <f t="shared" si="86"/>
        <v>0</v>
      </c>
      <c r="I173" s="7">
        <f t="shared" si="87"/>
        <v>0</v>
      </c>
      <c r="J173" s="7">
        <f t="shared" si="88"/>
        <v>0</v>
      </c>
      <c r="K173" s="7">
        <f t="shared" si="89"/>
        <v>0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tr">
        <f t="shared" si="84"/>
        <v>Gloria </v>
      </c>
      <c r="B174" s="3"/>
      <c r="C174" s="3"/>
      <c r="D174" s="3"/>
      <c r="E174" s="3"/>
      <c r="F174" s="3"/>
      <c r="G174" s="7">
        <f t="shared" si="85"/>
        <v>0</v>
      </c>
      <c r="H174" s="7">
        <f t="shared" si="86"/>
        <v>0</v>
      </c>
      <c r="I174" s="7">
        <f t="shared" si="87"/>
        <v>0</v>
      </c>
      <c r="J174" s="7">
        <f t="shared" si="88"/>
        <v>0</v>
      </c>
      <c r="K174" s="7">
        <f t="shared" si="89"/>
        <v>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tr">
        <f t="shared" si="84"/>
        <v>Adriana</v>
      </c>
      <c r="B175" s="8"/>
      <c r="C175" s="8"/>
      <c r="D175" s="8"/>
      <c r="E175" s="8"/>
      <c r="F175" s="8"/>
      <c r="G175" s="7">
        <f t="shared" si="85"/>
        <v>0</v>
      </c>
      <c r="H175" s="7">
        <f t="shared" si="86"/>
        <v>0</v>
      </c>
      <c r="I175" s="7">
        <f t="shared" si="87"/>
        <v>0</v>
      </c>
      <c r="J175" s="7">
        <f t="shared" si="88"/>
        <v>0</v>
      </c>
      <c r="K175" s="7">
        <f t="shared" si="89"/>
        <v>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tr">
        <f t="shared" si="84"/>
        <v>diana</v>
      </c>
      <c r="B176" s="8"/>
      <c r="C176" s="8"/>
      <c r="D176" s="8"/>
      <c r="E176" s="8"/>
      <c r="F176" s="8"/>
      <c r="G176" s="7">
        <f t="shared" si="85"/>
        <v>0</v>
      </c>
      <c r="H176" s="7">
        <f t="shared" si="86"/>
        <v>0</v>
      </c>
      <c r="I176" s="7">
        <f t="shared" si="87"/>
        <v>0</v>
      </c>
      <c r="J176" s="7">
        <f t="shared" si="88"/>
        <v>0</v>
      </c>
      <c r="K176" s="7">
        <f t="shared" si="89"/>
        <v>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tr">
        <f t="shared" si="84"/>
        <v>Andrea</v>
      </c>
      <c r="B177" s="3"/>
      <c r="C177" s="3"/>
      <c r="D177" s="3"/>
      <c r="E177" s="3"/>
      <c r="F177" s="3"/>
      <c r="G177" s="7">
        <f t="shared" si="85"/>
        <v>0</v>
      </c>
      <c r="H177" s="7">
        <f t="shared" si="86"/>
        <v>0</v>
      </c>
      <c r="I177" s="7">
        <f t="shared" si="87"/>
        <v>0</v>
      </c>
      <c r="J177" s="7">
        <f t="shared" si="88"/>
        <v>0</v>
      </c>
      <c r="K177" s="7">
        <f t="shared" si="89"/>
        <v>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tr">
        <f t="shared" si="84"/>
        <v>Erick</v>
      </c>
      <c r="B178" s="7"/>
      <c r="C178" s="7"/>
      <c r="D178" s="7"/>
      <c r="E178" s="7"/>
      <c r="F178" s="3"/>
      <c r="G178" s="7">
        <f t="shared" si="85"/>
        <v>0</v>
      </c>
      <c r="H178" s="7">
        <f t="shared" si="86"/>
        <v>0</v>
      </c>
      <c r="I178" s="7">
        <f t="shared" si="87"/>
        <v>0</v>
      </c>
      <c r="J178" s="7">
        <f t="shared" si="88"/>
        <v>0</v>
      </c>
      <c r="K178" s="7">
        <f t="shared" si="89"/>
        <v>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tr">
        <f t="shared" si="84"/>
        <v>Carlos</v>
      </c>
      <c r="B179" s="3"/>
      <c r="C179" s="3"/>
      <c r="D179" s="3"/>
      <c r="E179" s="3"/>
      <c r="F179" s="3"/>
      <c r="G179" s="7">
        <f t="shared" si="85"/>
        <v>0</v>
      </c>
      <c r="H179" s="7">
        <f t="shared" si="86"/>
        <v>0</v>
      </c>
      <c r="I179" s="7">
        <f t="shared" si="87"/>
        <v>0</v>
      </c>
      <c r="J179" s="7">
        <f t="shared" si="88"/>
        <v>0</v>
      </c>
      <c r="K179" s="7">
        <f t="shared" si="89"/>
        <v>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tr">
        <f t="shared" si="84"/>
        <v>Tathy</v>
      </c>
      <c r="B180" s="3"/>
      <c r="C180" s="3"/>
      <c r="D180" s="3"/>
      <c r="E180" s="3"/>
      <c r="F180" s="3"/>
      <c r="G180" s="7">
        <f t="shared" si="85"/>
        <v>0</v>
      </c>
      <c r="H180" s="7">
        <f t="shared" si="86"/>
        <v>0</v>
      </c>
      <c r="I180" s="7">
        <f t="shared" si="87"/>
        <v>0</v>
      </c>
      <c r="J180" s="7">
        <f t="shared" si="88"/>
        <v>0</v>
      </c>
      <c r="K180" s="7">
        <f t="shared" si="89"/>
        <v>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>
        <f>SUM(B172:B180)</f>
        <v>0</v>
      </c>
      <c r="C181" s="3"/>
      <c r="D181" s="7">
        <f t="shared" ref="D181:K181" si="90">SUM(D172:D180)</f>
        <v>0</v>
      </c>
      <c r="E181" s="7">
        <f t="shared" si="90"/>
        <v>0</v>
      </c>
      <c r="F181" s="7">
        <f t="shared" si="90"/>
        <v>0</v>
      </c>
      <c r="G181" s="7">
        <f t="shared" si="90"/>
        <v>0</v>
      </c>
      <c r="H181" s="7">
        <f t="shared" si="90"/>
        <v>0</v>
      </c>
      <c r="I181" s="7">
        <f t="shared" si="90"/>
        <v>0</v>
      </c>
      <c r="J181" s="7">
        <f t="shared" si="90"/>
        <v>0</v>
      </c>
      <c r="K181" s="7">
        <f t="shared" si="90"/>
        <v>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4">
      <c r="A184" s="3" t="s">
        <v>0</v>
      </c>
      <c r="B184" s="12">
        <f>B170+1</f>
        <v>46005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 t="s">
        <v>1</v>
      </c>
      <c r="C185" s="3" t="s">
        <v>2</v>
      </c>
      <c r="D185" s="3" t="s">
        <v>3</v>
      </c>
      <c r="E185" s="3" t="s">
        <v>4</v>
      </c>
      <c r="F185" s="3" t="s">
        <v>5</v>
      </c>
      <c r="G185" s="3" t="s">
        <v>6</v>
      </c>
      <c r="H185" s="3" t="s">
        <v>7</v>
      </c>
      <c r="I185" s="3" t="s">
        <v>8</v>
      </c>
      <c r="J185" s="3" t="s">
        <v>9</v>
      </c>
      <c r="K185" s="3" t="s">
        <v>10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tr">
        <f t="shared" ref="A186:A194" si="91">A172</f>
        <v>Ricardo </v>
      </c>
      <c r="B186" s="4"/>
      <c r="C186" s="4"/>
      <c r="D186" s="4"/>
      <c r="E186" s="4"/>
      <c r="F186" s="4"/>
      <c r="G186" s="7">
        <f t="shared" ref="G186:G194" si="92">D186-E186</f>
        <v>0</v>
      </c>
      <c r="H186" s="7">
        <f t="shared" ref="H186:H194" si="93">G186+F186</f>
        <v>0</v>
      </c>
      <c r="I186" s="7">
        <f t="shared" ref="I186:I194" si="94">C186*500</f>
        <v>0</v>
      </c>
      <c r="J186" s="7">
        <f t="shared" ref="J186:J194" si="95">I186+E186+B186</f>
        <v>0</v>
      </c>
      <c r="K186" s="7">
        <f t="shared" ref="K186:K194" si="96">I186+B186</f>
        <v>0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tr">
        <f t="shared" si="91"/>
        <v>rosa</v>
      </c>
      <c r="B187" s="3"/>
      <c r="C187" s="3"/>
      <c r="D187" s="3"/>
      <c r="E187" s="3"/>
      <c r="F187" s="3"/>
      <c r="G187" s="7">
        <f t="shared" si="92"/>
        <v>0</v>
      </c>
      <c r="H187" s="7">
        <f t="shared" si="93"/>
        <v>0</v>
      </c>
      <c r="I187" s="7">
        <f t="shared" si="94"/>
        <v>0</v>
      </c>
      <c r="J187" s="7">
        <f t="shared" si="95"/>
        <v>0</v>
      </c>
      <c r="K187" s="7">
        <f t="shared" si="96"/>
        <v>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tr">
        <f t="shared" si="91"/>
        <v>Gloria </v>
      </c>
      <c r="B188" s="8"/>
      <c r="C188" s="8"/>
      <c r="D188" s="8"/>
      <c r="E188" s="8"/>
      <c r="F188" s="8"/>
      <c r="G188" s="7">
        <f t="shared" si="92"/>
        <v>0</v>
      </c>
      <c r="H188" s="7">
        <f t="shared" si="93"/>
        <v>0</v>
      </c>
      <c r="I188" s="7">
        <f t="shared" si="94"/>
        <v>0</v>
      </c>
      <c r="J188" s="7">
        <f t="shared" si="95"/>
        <v>0</v>
      </c>
      <c r="K188" s="7">
        <f t="shared" si="96"/>
        <v>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tr">
        <f t="shared" si="91"/>
        <v>Adriana</v>
      </c>
      <c r="B189" s="8"/>
      <c r="C189" s="8"/>
      <c r="D189" s="8"/>
      <c r="E189" s="8"/>
      <c r="F189" s="8"/>
      <c r="G189" s="7">
        <f t="shared" si="92"/>
        <v>0</v>
      </c>
      <c r="H189" s="7">
        <f t="shared" si="93"/>
        <v>0</v>
      </c>
      <c r="I189" s="7">
        <f t="shared" si="94"/>
        <v>0</v>
      </c>
      <c r="J189" s="7">
        <f t="shared" si="95"/>
        <v>0</v>
      </c>
      <c r="K189" s="7">
        <f t="shared" si="96"/>
        <v>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tr">
        <f t="shared" si="91"/>
        <v>diana</v>
      </c>
      <c r="B190" s="3"/>
      <c r="C190" s="3"/>
      <c r="D190" s="3"/>
      <c r="E190" s="3"/>
      <c r="F190" s="3"/>
      <c r="G190" s="7">
        <f t="shared" si="92"/>
        <v>0</v>
      </c>
      <c r="H190" s="7">
        <f t="shared" si="93"/>
        <v>0</v>
      </c>
      <c r="I190" s="7">
        <f t="shared" si="94"/>
        <v>0</v>
      </c>
      <c r="J190" s="7">
        <f t="shared" si="95"/>
        <v>0</v>
      </c>
      <c r="K190" s="7">
        <f t="shared" si="96"/>
        <v>0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tr">
        <f t="shared" si="91"/>
        <v>Andrea</v>
      </c>
      <c r="B191" s="3"/>
      <c r="C191" s="3"/>
      <c r="D191" s="3"/>
      <c r="E191" s="3"/>
      <c r="F191" s="3"/>
      <c r="G191" s="7">
        <f t="shared" si="92"/>
        <v>0</v>
      </c>
      <c r="H191" s="7">
        <f t="shared" si="93"/>
        <v>0</v>
      </c>
      <c r="I191" s="7">
        <f t="shared" si="94"/>
        <v>0</v>
      </c>
      <c r="J191" s="7">
        <f t="shared" si="95"/>
        <v>0</v>
      </c>
      <c r="K191" s="7">
        <f t="shared" si="96"/>
        <v>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tr">
        <f t="shared" si="91"/>
        <v>Erick</v>
      </c>
      <c r="B192" s="7"/>
      <c r="C192" s="7"/>
      <c r="D192" s="7"/>
      <c r="E192" s="7"/>
      <c r="F192" s="7"/>
      <c r="G192" s="7">
        <f t="shared" si="92"/>
        <v>0</v>
      </c>
      <c r="H192" s="7">
        <f t="shared" si="93"/>
        <v>0</v>
      </c>
      <c r="I192" s="7">
        <f t="shared" si="94"/>
        <v>0</v>
      </c>
      <c r="J192" s="7">
        <f t="shared" si="95"/>
        <v>0</v>
      </c>
      <c r="K192" s="7">
        <f t="shared" si="96"/>
        <v>0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tr">
        <f t="shared" si="91"/>
        <v>Carlos</v>
      </c>
      <c r="B193" s="3"/>
      <c r="C193" s="3"/>
      <c r="D193" s="3"/>
      <c r="E193" s="3"/>
      <c r="F193" s="3"/>
      <c r="G193" s="7">
        <f t="shared" si="92"/>
        <v>0</v>
      </c>
      <c r="H193" s="7">
        <f t="shared" si="93"/>
        <v>0</v>
      </c>
      <c r="I193" s="7">
        <f t="shared" si="94"/>
        <v>0</v>
      </c>
      <c r="J193" s="7">
        <f t="shared" si="95"/>
        <v>0</v>
      </c>
      <c r="K193" s="7">
        <f t="shared" si="96"/>
        <v>0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tr">
        <f t="shared" si="91"/>
        <v>Tathy</v>
      </c>
      <c r="B194" s="3"/>
      <c r="C194" s="3"/>
      <c r="D194" s="3"/>
      <c r="E194" s="3"/>
      <c r="F194" s="3"/>
      <c r="G194" s="7">
        <f t="shared" si="92"/>
        <v>0</v>
      </c>
      <c r="H194" s="7">
        <f t="shared" si="93"/>
        <v>0</v>
      </c>
      <c r="I194" s="7">
        <f t="shared" si="94"/>
        <v>0</v>
      </c>
      <c r="J194" s="7">
        <f t="shared" si="95"/>
        <v>0</v>
      </c>
      <c r="K194" s="7">
        <f t="shared" si="96"/>
        <v>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>
        <f>SUM(B186:B194)</f>
        <v>0</v>
      </c>
      <c r="C195" s="3"/>
      <c r="D195" s="7">
        <f t="shared" ref="D195:K195" si="97">SUM(D186:D194)</f>
        <v>0</v>
      </c>
      <c r="E195" s="7">
        <f t="shared" si="97"/>
        <v>0</v>
      </c>
      <c r="F195" s="7">
        <f t="shared" si="97"/>
        <v>0</v>
      </c>
      <c r="G195" s="7">
        <f t="shared" si="97"/>
        <v>0</v>
      </c>
      <c r="H195" s="7">
        <f t="shared" si="97"/>
        <v>0</v>
      </c>
      <c r="I195" s="7">
        <f t="shared" si="97"/>
        <v>0</v>
      </c>
      <c r="J195" s="7">
        <f t="shared" si="97"/>
        <v>0</v>
      </c>
      <c r="K195" s="7">
        <f t="shared" si="97"/>
        <v>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8">
      <c r="A198" s="3" t="s">
        <v>0</v>
      </c>
      <c r="B198" s="12">
        <f>B184+1</f>
        <v>46006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 t="s">
        <v>1</v>
      </c>
      <c r="C199" s="3" t="s">
        <v>2</v>
      </c>
      <c r="D199" s="3" t="s">
        <v>3</v>
      </c>
      <c r="E199" s="3" t="s">
        <v>4</v>
      </c>
      <c r="F199" s="3" t="s">
        <v>5</v>
      </c>
      <c r="G199" s="3" t="s">
        <v>6</v>
      </c>
      <c r="H199" s="3" t="s">
        <v>7</v>
      </c>
      <c r="I199" s="3" t="s">
        <v>8</v>
      </c>
      <c r="J199" s="3" t="s">
        <v>9</v>
      </c>
      <c r="K199" s="3" t="s">
        <v>10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tr">
        <f t="shared" ref="A200:A208" si="98">A186</f>
        <v>Ricardo </v>
      </c>
      <c r="B200" s="5"/>
      <c r="C200" s="4"/>
      <c r="D200" s="4"/>
      <c r="E200" s="4"/>
      <c r="F200" s="4"/>
      <c r="G200" s="7">
        <f t="shared" ref="G200:G208" si="99">D200-E200</f>
        <v>0</v>
      </c>
      <c r="H200" s="7">
        <f t="shared" ref="H200:H208" si="100">G200+F200</f>
        <v>0</v>
      </c>
      <c r="I200" s="7">
        <f t="shared" ref="I200:I208" si="101">C200*500</f>
        <v>0</v>
      </c>
      <c r="J200" s="7">
        <f t="shared" ref="J200:J208" si="102">I200+E200+B200</f>
        <v>0</v>
      </c>
      <c r="K200" s="7">
        <f t="shared" ref="K200:K208" si="103">I200+B200</f>
        <v>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tr">
        <f t="shared" si="98"/>
        <v>rosa</v>
      </c>
      <c r="B201" s="7">
        <v>400.0</v>
      </c>
      <c r="C201" s="7">
        <v>3.0</v>
      </c>
      <c r="D201" s="7">
        <v>2203.24</v>
      </c>
      <c r="E201" s="7">
        <v>2203.24</v>
      </c>
      <c r="F201" s="8">
        <v>-0.14</v>
      </c>
      <c r="G201" s="7">
        <f t="shared" si="99"/>
        <v>0</v>
      </c>
      <c r="H201" s="7">
        <f t="shared" si="100"/>
        <v>-0.14</v>
      </c>
      <c r="I201" s="7">
        <f t="shared" si="101"/>
        <v>1500</v>
      </c>
      <c r="J201" s="7">
        <f t="shared" si="102"/>
        <v>4103.24</v>
      </c>
      <c r="K201" s="7">
        <f t="shared" si="103"/>
        <v>1900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tr">
        <f t="shared" si="98"/>
        <v>Gloria </v>
      </c>
      <c r="B202" s="3"/>
      <c r="C202" s="3"/>
      <c r="D202" s="3"/>
      <c r="E202" s="3"/>
      <c r="F202" s="3"/>
      <c r="G202" s="7">
        <f t="shared" si="99"/>
        <v>0</v>
      </c>
      <c r="H202" s="7">
        <f t="shared" si="100"/>
        <v>0</v>
      </c>
      <c r="I202" s="7">
        <f t="shared" si="101"/>
        <v>0</v>
      </c>
      <c r="J202" s="7">
        <f t="shared" si="102"/>
        <v>0</v>
      </c>
      <c r="K202" s="7">
        <f t="shared" si="103"/>
        <v>0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tr">
        <f t="shared" si="98"/>
        <v>Adriana</v>
      </c>
      <c r="B203" s="3"/>
      <c r="C203" s="3"/>
      <c r="D203" s="3"/>
      <c r="E203" s="3"/>
      <c r="F203" s="3"/>
      <c r="G203" s="7">
        <f t="shared" si="99"/>
        <v>0</v>
      </c>
      <c r="H203" s="7">
        <f t="shared" si="100"/>
        <v>0</v>
      </c>
      <c r="I203" s="7">
        <f t="shared" si="101"/>
        <v>0</v>
      </c>
      <c r="J203" s="7">
        <f t="shared" si="102"/>
        <v>0</v>
      </c>
      <c r="K203" s="7">
        <f t="shared" si="103"/>
        <v>0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tr">
        <f t="shared" si="98"/>
        <v>diana</v>
      </c>
      <c r="B204" s="3"/>
      <c r="C204" s="3"/>
      <c r="D204" s="3"/>
      <c r="E204" s="3"/>
      <c r="F204" s="3"/>
      <c r="G204" s="7">
        <f t="shared" si="99"/>
        <v>0</v>
      </c>
      <c r="H204" s="7">
        <f t="shared" si="100"/>
        <v>0</v>
      </c>
      <c r="I204" s="7">
        <f t="shared" si="101"/>
        <v>0</v>
      </c>
      <c r="J204" s="7">
        <f t="shared" si="102"/>
        <v>0</v>
      </c>
      <c r="K204" s="7">
        <f t="shared" si="103"/>
        <v>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tr">
        <f t="shared" si="98"/>
        <v>Andrea</v>
      </c>
      <c r="B205" s="7">
        <v>36.36</v>
      </c>
      <c r="C205" s="7">
        <v>2.0</v>
      </c>
      <c r="D205" s="7">
        <v>918.36</v>
      </c>
      <c r="E205" s="7">
        <v>918.36</v>
      </c>
      <c r="F205" s="7">
        <v>1.36</v>
      </c>
      <c r="G205" s="7">
        <f t="shared" si="99"/>
        <v>0</v>
      </c>
      <c r="H205" s="7">
        <f t="shared" si="100"/>
        <v>1.36</v>
      </c>
      <c r="I205" s="7">
        <f t="shared" si="101"/>
        <v>1000</v>
      </c>
      <c r="J205" s="7">
        <f t="shared" si="102"/>
        <v>1954.72</v>
      </c>
      <c r="K205" s="7">
        <f t="shared" si="103"/>
        <v>1036.36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tr">
        <f t="shared" si="98"/>
        <v>Erick</v>
      </c>
      <c r="B206" s="3"/>
      <c r="C206" s="3"/>
      <c r="D206" s="3"/>
      <c r="E206" s="3"/>
      <c r="F206" s="3"/>
      <c r="G206" s="7">
        <f t="shared" si="99"/>
        <v>0</v>
      </c>
      <c r="H206" s="7">
        <f t="shared" si="100"/>
        <v>0</v>
      </c>
      <c r="I206" s="7">
        <f t="shared" si="101"/>
        <v>0</v>
      </c>
      <c r="J206" s="7">
        <f t="shared" si="102"/>
        <v>0</v>
      </c>
      <c r="K206" s="7">
        <f t="shared" si="103"/>
        <v>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tr">
        <f t="shared" si="98"/>
        <v>Carlos</v>
      </c>
      <c r="B207" s="3"/>
      <c r="C207" s="3"/>
      <c r="D207" s="3"/>
      <c r="E207" s="3"/>
      <c r="F207" s="3"/>
      <c r="G207" s="7">
        <f t="shared" si="99"/>
        <v>0</v>
      </c>
      <c r="H207" s="7">
        <f t="shared" si="100"/>
        <v>0</v>
      </c>
      <c r="I207" s="7">
        <f t="shared" si="101"/>
        <v>0</v>
      </c>
      <c r="J207" s="7">
        <f t="shared" si="102"/>
        <v>0</v>
      </c>
      <c r="K207" s="7">
        <f t="shared" si="103"/>
        <v>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tr">
        <f t="shared" si="98"/>
        <v>Tathy</v>
      </c>
      <c r="B208" s="7">
        <v>342.0</v>
      </c>
      <c r="C208" s="7">
        <v>0.0</v>
      </c>
      <c r="D208" s="7">
        <v>394.16</v>
      </c>
      <c r="E208" s="7">
        <v>394.16</v>
      </c>
      <c r="F208" s="7">
        <v>-0.01</v>
      </c>
      <c r="G208" s="7">
        <f t="shared" si="99"/>
        <v>0</v>
      </c>
      <c r="H208" s="7">
        <f t="shared" si="100"/>
        <v>-0.01</v>
      </c>
      <c r="I208" s="7">
        <f t="shared" si="101"/>
        <v>0</v>
      </c>
      <c r="J208" s="7">
        <f t="shared" si="102"/>
        <v>736.16</v>
      </c>
      <c r="K208" s="7">
        <f t="shared" si="103"/>
        <v>342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>
        <f>SUM(B200:B208)</f>
        <v>778.36</v>
      </c>
      <c r="C209" s="3"/>
      <c r="D209" s="7">
        <f t="shared" ref="D209:K209" si="104">SUM(D200:D208)</f>
        <v>3515.76</v>
      </c>
      <c r="E209" s="7">
        <f t="shared" si="104"/>
        <v>3515.76</v>
      </c>
      <c r="F209" s="7">
        <f t="shared" si="104"/>
        <v>1.21</v>
      </c>
      <c r="G209" s="7">
        <f t="shared" si="104"/>
        <v>0</v>
      </c>
      <c r="H209" s="7">
        <f t="shared" si="104"/>
        <v>1.21</v>
      </c>
      <c r="I209" s="7">
        <f t="shared" si="104"/>
        <v>2500</v>
      </c>
      <c r="J209" s="7">
        <f t="shared" si="104"/>
        <v>6794.12</v>
      </c>
      <c r="K209" s="7">
        <f t="shared" si="104"/>
        <v>3278.36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2">
      <c r="A212" s="3" t="s">
        <v>0</v>
      </c>
      <c r="B212" s="12">
        <f>B198+1</f>
        <v>46007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tr">
        <f t="shared" ref="A214:A222" si="105">A200</f>
        <v>Ricardo </v>
      </c>
      <c r="B214" s="3"/>
      <c r="C214" s="3"/>
      <c r="D214" s="3"/>
      <c r="E214" s="3"/>
      <c r="F214" s="3"/>
      <c r="G214" s="7">
        <f t="shared" ref="G214:G222" si="106">D214-E214</f>
        <v>0</v>
      </c>
      <c r="H214" s="7">
        <f t="shared" ref="H214:H222" si="107">G214+F214</f>
        <v>0</v>
      </c>
      <c r="I214" s="7">
        <f t="shared" ref="I214:I222" si="108">C214*500</f>
        <v>0</v>
      </c>
      <c r="J214" s="7">
        <f t="shared" ref="J214:J222" si="109">I214+E214+B214</f>
        <v>0</v>
      </c>
      <c r="K214" s="7">
        <f t="shared" ref="K214:K222" si="110">I214+B214</f>
        <v>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tr">
        <f t="shared" si="105"/>
        <v>rosa</v>
      </c>
      <c r="B215" s="7"/>
      <c r="C215" s="7"/>
      <c r="D215" s="7"/>
      <c r="E215" s="7"/>
      <c r="F215" s="7"/>
      <c r="G215" s="7">
        <f t="shared" si="106"/>
        <v>0</v>
      </c>
      <c r="H215" s="7">
        <f t="shared" si="107"/>
        <v>0</v>
      </c>
      <c r="I215" s="7">
        <f t="shared" si="108"/>
        <v>0</v>
      </c>
      <c r="J215" s="7">
        <f t="shared" si="109"/>
        <v>0</v>
      </c>
      <c r="K215" s="7">
        <f t="shared" si="110"/>
        <v>0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tr">
        <f t="shared" si="105"/>
        <v>Gloria </v>
      </c>
      <c r="B216" s="8"/>
      <c r="C216" s="8"/>
      <c r="D216" s="8"/>
      <c r="E216" s="8"/>
      <c r="F216" s="8"/>
      <c r="G216" s="7">
        <f t="shared" si="106"/>
        <v>0</v>
      </c>
      <c r="H216" s="7">
        <f t="shared" si="107"/>
        <v>0</v>
      </c>
      <c r="I216" s="7">
        <f t="shared" si="108"/>
        <v>0</v>
      </c>
      <c r="J216" s="7">
        <f t="shared" si="109"/>
        <v>0</v>
      </c>
      <c r="K216" s="7">
        <f t="shared" si="110"/>
        <v>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tr">
        <f t="shared" si="105"/>
        <v>Adriana</v>
      </c>
      <c r="B217" s="8"/>
      <c r="C217" s="8"/>
      <c r="D217" s="8"/>
      <c r="E217" s="8"/>
      <c r="F217" s="8"/>
      <c r="G217" s="7">
        <f t="shared" si="106"/>
        <v>0</v>
      </c>
      <c r="H217" s="7">
        <f t="shared" si="107"/>
        <v>0</v>
      </c>
      <c r="I217" s="7">
        <f t="shared" si="108"/>
        <v>0</v>
      </c>
      <c r="J217" s="7">
        <f t="shared" si="109"/>
        <v>0</v>
      </c>
      <c r="K217" s="7">
        <f t="shared" si="110"/>
        <v>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tr">
        <f t="shared" si="105"/>
        <v>diana</v>
      </c>
      <c r="B218" s="3"/>
      <c r="C218" s="3"/>
      <c r="D218" s="3"/>
      <c r="E218" s="3"/>
      <c r="F218" s="3"/>
      <c r="G218" s="7">
        <f t="shared" si="106"/>
        <v>0</v>
      </c>
      <c r="H218" s="7">
        <f t="shared" si="107"/>
        <v>0</v>
      </c>
      <c r="I218" s="7">
        <f t="shared" si="108"/>
        <v>0</v>
      </c>
      <c r="J218" s="7">
        <f t="shared" si="109"/>
        <v>0</v>
      </c>
      <c r="K218" s="7">
        <f t="shared" si="110"/>
        <v>0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tr">
        <f t="shared" si="105"/>
        <v>Andrea</v>
      </c>
      <c r="B219" s="3"/>
      <c r="C219" s="3"/>
      <c r="D219" s="3"/>
      <c r="E219" s="3"/>
      <c r="F219" s="3"/>
      <c r="G219" s="7">
        <f t="shared" si="106"/>
        <v>0</v>
      </c>
      <c r="H219" s="7">
        <f t="shared" si="107"/>
        <v>0</v>
      </c>
      <c r="I219" s="7">
        <f t="shared" si="108"/>
        <v>0</v>
      </c>
      <c r="J219" s="7">
        <f t="shared" si="109"/>
        <v>0</v>
      </c>
      <c r="K219" s="7">
        <f t="shared" si="110"/>
        <v>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tr">
        <f t="shared" si="105"/>
        <v>Erick</v>
      </c>
      <c r="B220" s="3"/>
      <c r="C220" s="3"/>
      <c r="D220" s="3"/>
      <c r="E220" s="3"/>
      <c r="F220" s="3"/>
      <c r="G220" s="7">
        <f t="shared" si="106"/>
        <v>0</v>
      </c>
      <c r="H220" s="7">
        <f t="shared" si="107"/>
        <v>0</v>
      </c>
      <c r="I220" s="7">
        <f t="shared" si="108"/>
        <v>0</v>
      </c>
      <c r="J220" s="7">
        <f t="shared" si="109"/>
        <v>0</v>
      </c>
      <c r="K220" s="7">
        <f t="shared" si="110"/>
        <v>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tr">
        <f t="shared" si="105"/>
        <v>Carlos</v>
      </c>
      <c r="B221" s="3"/>
      <c r="C221" s="3"/>
      <c r="D221" s="3"/>
      <c r="E221" s="3"/>
      <c r="F221" s="3"/>
      <c r="G221" s="7">
        <f t="shared" si="106"/>
        <v>0</v>
      </c>
      <c r="H221" s="7">
        <f t="shared" si="107"/>
        <v>0</v>
      </c>
      <c r="I221" s="7">
        <f t="shared" si="108"/>
        <v>0</v>
      </c>
      <c r="J221" s="7">
        <f t="shared" si="109"/>
        <v>0</v>
      </c>
      <c r="K221" s="7">
        <f t="shared" si="110"/>
        <v>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tr">
        <f t="shared" si="105"/>
        <v>Tathy</v>
      </c>
      <c r="B222" s="3"/>
      <c r="C222" s="3"/>
      <c r="D222" s="3"/>
      <c r="E222" s="3"/>
      <c r="F222" s="3"/>
      <c r="G222" s="7">
        <f t="shared" si="106"/>
        <v>0</v>
      </c>
      <c r="H222" s="7">
        <f t="shared" si="107"/>
        <v>0</v>
      </c>
      <c r="I222" s="7">
        <f t="shared" si="108"/>
        <v>0</v>
      </c>
      <c r="J222" s="7">
        <f t="shared" si="109"/>
        <v>0</v>
      </c>
      <c r="K222" s="7">
        <f t="shared" si="110"/>
        <v>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>
        <f>SUM(B214:B222)</f>
        <v>0</v>
      </c>
      <c r="C223" s="3"/>
      <c r="D223" s="7">
        <f t="shared" ref="D223:K223" si="111">SUM(D214:D222)</f>
        <v>0</v>
      </c>
      <c r="E223" s="7">
        <f t="shared" si="111"/>
        <v>0</v>
      </c>
      <c r="F223" s="7">
        <f t="shared" si="111"/>
        <v>0</v>
      </c>
      <c r="G223" s="7">
        <f t="shared" si="111"/>
        <v>0</v>
      </c>
      <c r="H223" s="7">
        <f t="shared" si="111"/>
        <v>0</v>
      </c>
      <c r="I223" s="7">
        <f t="shared" si="111"/>
        <v>0</v>
      </c>
      <c r="J223" s="7">
        <f t="shared" si="111"/>
        <v>0</v>
      </c>
      <c r="K223" s="7">
        <f t="shared" si="111"/>
        <v>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6">
      <c r="A226" s="3" t="s">
        <v>0</v>
      </c>
      <c r="B226" s="12">
        <f>B212+1</f>
        <v>46008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 t="s">
        <v>1</v>
      </c>
      <c r="C227" s="3" t="s">
        <v>2</v>
      </c>
      <c r="D227" s="3" t="s">
        <v>3</v>
      </c>
      <c r="E227" s="3" t="s">
        <v>4</v>
      </c>
      <c r="F227" s="3" t="s">
        <v>5</v>
      </c>
      <c r="G227" s="3" t="s">
        <v>6</v>
      </c>
      <c r="H227" s="3" t="s">
        <v>7</v>
      </c>
      <c r="I227" s="3" t="s">
        <v>8</v>
      </c>
      <c r="J227" s="3" t="s">
        <v>9</v>
      </c>
      <c r="K227" s="3" t="s">
        <v>10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tr">
        <f t="shared" ref="A228:A236" si="112">A214</f>
        <v>Ricardo </v>
      </c>
      <c r="B228" s="10"/>
      <c r="C228" s="3"/>
      <c r="D228" s="3"/>
      <c r="E228" s="3"/>
      <c r="F228" s="3"/>
      <c r="G228" s="7">
        <f t="shared" ref="G228:G236" si="113">D228-E228</f>
        <v>0</v>
      </c>
      <c r="H228" s="7">
        <f t="shared" ref="H228:H236" si="114">G228+F228</f>
        <v>0</v>
      </c>
      <c r="I228" s="7">
        <f t="shared" ref="I228:I236" si="115">C228*500</f>
        <v>0</v>
      </c>
      <c r="J228" s="7">
        <f t="shared" ref="J228:J236" si="116">I228+E228+B228</f>
        <v>0</v>
      </c>
      <c r="K228" s="7">
        <f t="shared" ref="K228:K236" si="117">I228+B228</f>
        <v>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tr">
        <f t="shared" si="112"/>
        <v>rosa</v>
      </c>
      <c r="B229" s="7">
        <v>60.0</v>
      </c>
      <c r="C229" s="7">
        <v>3.0</v>
      </c>
      <c r="D229" s="7">
        <v>1712.3</v>
      </c>
      <c r="E229" s="7">
        <v>1712.3</v>
      </c>
      <c r="F229" s="16">
        <v>0.09</v>
      </c>
      <c r="G229" s="7">
        <f t="shared" si="113"/>
        <v>0</v>
      </c>
      <c r="H229" s="7">
        <f t="shared" si="114"/>
        <v>0.09</v>
      </c>
      <c r="I229" s="7">
        <f t="shared" si="115"/>
        <v>1500</v>
      </c>
      <c r="J229" s="7">
        <f t="shared" si="116"/>
        <v>3272.3</v>
      </c>
      <c r="K229" s="7">
        <f t="shared" si="117"/>
        <v>1560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tr">
        <f t="shared" si="112"/>
        <v>Gloria </v>
      </c>
      <c r="B230" s="7">
        <v>138.51</v>
      </c>
      <c r="C230" s="7">
        <v>0.0</v>
      </c>
      <c r="D230" s="7">
        <v>309.83</v>
      </c>
      <c r="E230" s="7">
        <v>309.83</v>
      </c>
      <c r="F230" s="7">
        <v>0.12</v>
      </c>
      <c r="G230" s="7">
        <f t="shared" si="113"/>
        <v>0</v>
      </c>
      <c r="H230" s="7">
        <f t="shared" si="114"/>
        <v>0.12</v>
      </c>
      <c r="I230" s="7">
        <f t="shared" si="115"/>
        <v>0</v>
      </c>
      <c r="J230" s="7">
        <f t="shared" si="116"/>
        <v>448.34</v>
      </c>
      <c r="K230" s="7">
        <f t="shared" si="117"/>
        <v>138.51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tr">
        <f t="shared" si="112"/>
        <v>Adriana</v>
      </c>
      <c r="B231" s="3"/>
      <c r="C231" s="3"/>
      <c r="D231" s="3"/>
      <c r="E231" s="3"/>
      <c r="F231" s="3"/>
      <c r="G231" s="7">
        <f t="shared" si="113"/>
        <v>0</v>
      </c>
      <c r="H231" s="7">
        <f t="shared" si="114"/>
        <v>0</v>
      </c>
      <c r="I231" s="7">
        <f t="shared" si="115"/>
        <v>0</v>
      </c>
      <c r="J231" s="7">
        <f t="shared" si="116"/>
        <v>0</v>
      </c>
      <c r="K231" s="7">
        <f t="shared" si="117"/>
        <v>0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 t="str">
        <f t="shared" si="112"/>
        <v>diana</v>
      </c>
      <c r="B232" s="3"/>
      <c r="C232" s="3"/>
      <c r="D232" s="3"/>
      <c r="E232" s="3"/>
      <c r="F232" s="3"/>
      <c r="G232" s="7">
        <f t="shared" si="113"/>
        <v>0</v>
      </c>
      <c r="H232" s="7">
        <f t="shared" si="114"/>
        <v>0</v>
      </c>
      <c r="I232" s="7">
        <f t="shared" si="115"/>
        <v>0</v>
      </c>
      <c r="J232" s="7">
        <f t="shared" si="116"/>
        <v>0</v>
      </c>
      <c r="K232" s="7">
        <f t="shared" si="117"/>
        <v>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 t="str">
        <f t="shared" si="112"/>
        <v>Andrea</v>
      </c>
      <c r="B233" s="7">
        <v>92.24</v>
      </c>
      <c r="C233" s="7">
        <v>2.0</v>
      </c>
      <c r="D233" s="7">
        <v>971.85</v>
      </c>
      <c r="E233" s="7">
        <v>971.85</v>
      </c>
      <c r="F233" s="7">
        <v>0.85</v>
      </c>
      <c r="G233" s="7">
        <f t="shared" si="113"/>
        <v>0</v>
      </c>
      <c r="H233" s="7">
        <f t="shared" si="114"/>
        <v>0.85</v>
      </c>
      <c r="I233" s="7">
        <f t="shared" si="115"/>
        <v>1000</v>
      </c>
      <c r="J233" s="7">
        <f t="shared" si="116"/>
        <v>2064.09</v>
      </c>
      <c r="K233" s="7">
        <f t="shared" si="117"/>
        <v>1092.24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 t="str">
        <f t="shared" si="112"/>
        <v>Erick</v>
      </c>
      <c r="B234" s="3"/>
      <c r="C234" s="3"/>
      <c r="D234" s="3"/>
      <c r="E234" s="3"/>
      <c r="F234" s="3"/>
      <c r="G234" s="7">
        <f t="shared" si="113"/>
        <v>0</v>
      </c>
      <c r="H234" s="7">
        <f t="shared" si="114"/>
        <v>0</v>
      </c>
      <c r="I234" s="7">
        <f t="shared" si="115"/>
        <v>0</v>
      </c>
      <c r="J234" s="7">
        <f t="shared" si="116"/>
        <v>0</v>
      </c>
      <c r="K234" s="7">
        <f t="shared" si="117"/>
        <v>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tr">
        <f t="shared" si="112"/>
        <v>Carlos</v>
      </c>
      <c r="B235" s="3"/>
      <c r="C235" s="3"/>
      <c r="D235" s="3"/>
      <c r="E235" s="3"/>
      <c r="F235" s="3"/>
      <c r="G235" s="7">
        <f t="shared" si="113"/>
        <v>0</v>
      </c>
      <c r="H235" s="7">
        <f t="shared" si="114"/>
        <v>0</v>
      </c>
      <c r="I235" s="7">
        <f t="shared" si="115"/>
        <v>0</v>
      </c>
      <c r="J235" s="7">
        <f t="shared" si="116"/>
        <v>0</v>
      </c>
      <c r="K235" s="7">
        <f t="shared" si="117"/>
        <v>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tr">
        <f t="shared" si="112"/>
        <v>Tathy</v>
      </c>
      <c r="B236" s="7">
        <v>117.2</v>
      </c>
      <c r="C236" s="7">
        <v>0.0</v>
      </c>
      <c r="D236" s="7">
        <v>213.73</v>
      </c>
      <c r="E236" s="7">
        <v>213.73</v>
      </c>
      <c r="F236" s="11">
        <v>-0.11</v>
      </c>
      <c r="G236" s="7">
        <f t="shared" si="113"/>
        <v>0</v>
      </c>
      <c r="H236" s="7">
        <f t="shared" si="114"/>
        <v>-0.11</v>
      </c>
      <c r="I236" s="7">
        <f t="shared" si="115"/>
        <v>0</v>
      </c>
      <c r="J236" s="7">
        <f t="shared" si="116"/>
        <v>330.93</v>
      </c>
      <c r="K236" s="7">
        <f t="shared" si="117"/>
        <v>117.2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>
        <f>SUM(B228:B236)</f>
        <v>407.95</v>
      </c>
      <c r="C237" s="3"/>
      <c r="D237" s="7">
        <f t="shared" ref="D237:K237" si="118">SUM(D228:D236)</f>
        <v>3207.71</v>
      </c>
      <c r="E237" s="7">
        <f t="shared" si="118"/>
        <v>3207.71</v>
      </c>
      <c r="F237" s="7">
        <f t="shared" si="118"/>
        <v>0.95</v>
      </c>
      <c r="G237" s="7">
        <f t="shared" si="118"/>
        <v>0</v>
      </c>
      <c r="H237" s="7">
        <f t="shared" si="118"/>
        <v>0.95</v>
      </c>
      <c r="I237" s="7">
        <f t="shared" si="118"/>
        <v>2500</v>
      </c>
      <c r="J237" s="7">
        <f t="shared" si="118"/>
        <v>6115.66</v>
      </c>
      <c r="K237" s="7">
        <f t="shared" si="118"/>
        <v>2907.95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40">
      <c r="A240" s="3" t="s">
        <v>0</v>
      </c>
      <c r="B240" s="12">
        <f>B226+1</f>
        <v>46009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 t="s">
        <v>1</v>
      </c>
      <c r="C241" s="3" t="s">
        <v>2</v>
      </c>
      <c r="D241" s="3" t="s">
        <v>3</v>
      </c>
      <c r="E241" s="3" t="s">
        <v>4</v>
      </c>
      <c r="F241" s="3" t="s">
        <v>5</v>
      </c>
      <c r="G241" s="3" t="s">
        <v>6</v>
      </c>
      <c r="H241" s="3" t="s">
        <v>7</v>
      </c>
      <c r="I241" s="3" t="s">
        <v>8</v>
      </c>
      <c r="J241" s="3" t="s">
        <v>9</v>
      </c>
      <c r="K241" s="3" t="s">
        <v>10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tr">
        <f t="shared" ref="A242:A250" si="119">A228</f>
        <v>Ricardo </v>
      </c>
      <c r="B242" s="10"/>
      <c r="C242" s="3"/>
      <c r="D242" s="3"/>
      <c r="E242" s="3"/>
      <c r="F242" s="3"/>
      <c r="G242" s="7">
        <f t="shared" ref="G242:G250" si="120">D242-E242</f>
        <v>0</v>
      </c>
      <c r="H242" s="7">
        <f t="shared" ref="H242:H250" si="121">G242+F242</f>
        <v>0</v>
      </c>
      <c r="I242" s="7">
        <f t="shared" ref="I242:I250" si="122">C242*500</f>
        <v>0</v>
      </c>
      <c r="J242" s="7">
        <f t="shared" ref="J242:J250" si="123">I242+E242+B242</f>
        <v>0</v>
      </c>
      <c r="K242" s="7">
        <f t="shared" ref="K242:K250" si="124">I242+B242</f>
        <v>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tr">
        <f t="shared" si="119"/>
        <v>rosa</v>
      </c>
      <c r="B243" s="7">
        <v>323.0</v>
      </c>
      <c r="C243" s="7">
        <v>2.0</v>
      </c>
      <c r="D243" s="7">
        <v>1840.14</v>
      </c>
      <c r="E243" s="7">
        <v>1840.14</v>
      </c>
      <c r="F243" s="16">
        <v>0.21</v>
      </c>
      <c r="G243" s="7">
        <f t="shared" si="120"/>
        <v>0</v>
      </c>
      <c r="H243" s="7">
        <f t="shared" si="121"/>
        <v>0.21</v>
      </c>
      <c r="I243" s="7">
        <f t="shared" si="122"/>
        <v>1000</v>
      </c>
      <c r="J243" s="7">
        <f t="shared" si="123"/>
        <v>3163.14</v>
      </c>
      <c r="K243" s="7">
        <f t="shared" si="124"/>
        <v>1323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tr">
        <f t="shared" si="119"/>
        <v>Gloria </v>
      </c>
      <c r="B244" s="3"/>
      <c r="C244" s="3"/>
      <c r="D244" s="3"/>
      <c r="E244" s="3"/>
      <c r="F244" s="3"/>
      <c r="G244" s="7">
        <f t="shared" si="120"/>
        <v>0</v>
      </c>
      <c r="H244" s="7">
        <f t="shared" si="121"/>
        <v>0</v>
      </c>
      <c r="I244" s="7">
        <f t="shared" si="122"/>
        <v>0</v>
      </c>
      <c r="J244" s="7">
        <f t="shared" si="123"/>
        <v>0</v>
      </c>
      <c r="K244" s="7">
        <f t="shared" si="124"/>
        <v>0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 t="str">
        <f t="shared" si="119"/>
        <v>Adriana</v>
      </c>
      <c r="B245" s="3"/>
      <c r="C245" s="3"/>
      <c r="D245" s="3"/>
      <c r="E245" s="3"/>
      <c r="F245" s="3"/>
      <c r="G245" s="7">
        <f t="shared" si="120"/>
        <v>0</v>
      </c>
      <c r="H245" s="7">
        <f t="shared" si="121"/>
        <v>0</v>
      </c>
      <c r="I245" s="7">
        <f t="shared" si="122"/>
        <v>0</v>
      </c>
      <c r="J245" s="7">
        <f t="shared" si="123"/>
        <v>0</v>
      </c>
      <c r="K245" s="7">
        <f t="shared" si="124"/>
        <v>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 t="str">
        <f t="shared" si="119"/>
        <v>diana</v>
      </c>
      <c r="B246" s="3"/>
      <c r="C246" s="3"/>
      <c r="D246" s="3"/>
      <c r="E246" s="3"/>
      <c r="F246" s="3"/>
      <c r="G246" s="7">
        <f t="shared" si="120"/>
        <v>0</v>
      </c>
      <c r="H246" s="7">
        <f t="shared" si="121"/>
        <v>0</v>
      </c>
      <c r="I246" s="7">
        <f t="shared" si="122"/>
        <v>0</v>
      </c>
      <c r="J246" s="7">
        <f t="shared" si="123"/>
        <v>0</v>
      </c>
      <c r="K246" s="7">
        <f t="shared" si="124"/>
        <v>0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 t="str">
        <f t="shared" si="119"/>
        <v>Andrea</v>
      </c>
      <c r="B247" s="7">
        <v>475.0</v>
      </c>
      <c r="C247" s="7">
        <v>2.0</v>
      </c>
      <c r="D247" s="7">
        <v>180.23</v>
      </c>
      <c r="E247" s="7">
        <v>180.23</v>
      </c>
      <c r="F247" s="7">
        <v>0.65</v>
      </c>
      <c r="G247" s="7">
        <f t="shared" si="120"/>
        <v>0</v>
      </c>
      <c r="H247" s="7">
        <f t="shared" si="121"/>
        <v>0.65</v>
      </c>
      <c r="I247" s="7">
        <f t="shared" si="122"/>
        <v>1000</v>
      </c>
      <c r="J247" s="7">
        <f t="shared" si="123"/>
        <v>1655.23</v>
      </c>
      <c r="K247" s="7">
        <f t="shared" si="124"/>
        <v>1475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tr">
        <f t="shared" si="119"/>
        <v>Erick</v>
      </c>
      <c r="B248" s="3"/>
      <c r="C248" s="3"/>
      <c r="D248" s="3"/>
      <c r="E248" s="3"/>
      <c r="F248" s="3"/>
      <c r="G248" s="7">
        <f t="shared" si="120"/>
        <v>0</v>
      </c>
      <c r="H248" s="7">
        <f t="shared" si="121"/>
        <v>0</v>
      </c>
      <c r="I248" s="7">
        <f t="shared" si="122"/>
        <v>0</v>
      </c>
      <c r="J248" s="7">
        <f t="shared" si="123"/>
        <v>0</v>
      </c>
      <c r="K248" s="7">
        <f t="shared" si="124"/>
        <v>0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tr">
        <f t="shared" si="119"/>
        <v>Carlos</v>
      </c>
      <c r="B249" s="7">
        <v>175.5</v>
      </c>
      <c r="C249" s="7">
        <v>0.0</v>
      </c>
      <c r="D249" s="7">
        <v>132.48</v>
      </c>
      <c r="E249" s="7">
        <v>132.48</v>
      </c>
      <c r="F249" s="11">
        <v>0.04</v>
      </c>
      <c r="G249" s="7">
        <f t="shared" si="120"/>
        <v>0</v>
      </c>
      <c r="H249" s="7">
        <f t="shared" si="121"/>
        <v>0.04</v>
      </c>
      <c r="I249" s="7">
        <f t="shared" si="122"/>
        <v>0</v>
      </c>
      <c r="J249" s="7">
        <f t="shared" si="123"/>
        <v>307.98</v>
      </c>
      <c r="K249" s="7">
        <f t="shared" si="124"/>
        <v>175.5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tr">
        <f t="shared" si="119"/>
        <v>Tathy</v>
      </c>
      <c r="B250" s="3"/>
      <c r="C250" s="3"/>
      <c r="D250" s="3"/>
      <c r="E250" s="3"/>
      <c r="F250" s="3"/>
      <c r="G250" s="7">
        <f t="shared" si="120"/>
        <v>0</v>
      </c>
      <c r="H250" s="7">
        <f t="shared" si="121"/>
        <v>0</v>
      </c>
      <c r="I250" s="7">
        <f t="shared" si="122"/>
        <v>0</v>
      </c>
      <c r="J250" s="7">
        <f t="shared" si="123"/>
        <v>0</v>
      </c>
      <c r="K250" s="7">
        <f t="shared" si="124"/>
        <v>0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7">
        <f>SUM(B242:B250)</f>
        <v>973.5</v>
      </c>
      <c r="C251" s="3"/>
      <c r="D251" s="7">
        <f t="shared" ref="D251:K251" si="125">SUM(D242:D250)</f>
        <v>2152.85</v>
      </c>
      <c r="E251" s="7">
        <f t="shared" si="125"/>
        <v>2152.85</v>
      </c>
      <c r="F251" s="7">
        <f t="shared" si="125"/>
        <v>0.9</v>
      </c>
      <c r="G251" s="7">
        <f t="shared" si="125"/>
        <v>0</v>
      </c>
      <c r="H251" s="7">
        <f t="shared" si="125"/>
        <v>0.9</v>
      </c>
      <c r="I251" s="7">
        <f t="shared" si="125"/>
        <v>2000</v>
      </c>
      <c r="J251" s="7">
        <f t="shared" si="125"/>
        <v>5126.35</v>
      </c>
      <c r="K251" s="7">
        <f t="shared" si="125"/>
        <v>2973.5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4">
      <c r="A254" s="3" t="s">
        <v>0</v>
      </c>
      <c r="B254" s="12">
        <f>B240+1</f>
        <v>46010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 t="s">
        <v>1</v>
      </c>
      <c r="C255" s="3" t="s">
        <v>2</v>
      </c>
      <c r="D255" s="3" t="s">
        <v>3</v>
      </c>
      <c r="E255" s="3" t="s">
        <v>4</v>
      </c>
      <c r="F255" s="3" t="s">
        <v>5</v>
      </c>
      <c r="G255" s="3" t="s">
        <v>6</v>
      </c>
      <c r="H255" s="3" t="s">
        <v>7</v>
      </c>
      <c r="I255" s="3" t="s">
        <v>8</v>
      </c>
      <c r="J255" s="3" t="s">
        <v>9</v>
      </c>
      <c r="K255" s="3" t="s">
        <v>10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tr">
        <f t="shared" ref="A256:A264" si="126">A242</f>
        <v>Ricardo </v>
      </c>
      <c r="B256" s="10"/>
      <c r="C256" s="3"/>
      <c r="D256" s="3"/>
      <c r="E256" s="3"/>
      <c r="F256" s="3"/>
      <c r="G256" s="7">
        <f t="shared" ref="G256:G264" si="127">D256-E256</f>
        <v>0</v>
      </c>
      <c r="H256" s="7">
        <f t="shared" ref="H256:H264" si="128">G256+F256</f>
        <v>0</v>
      </c>
      <c r="I256" s="7">
        <f t="shared" ref="I256:I264" si="129">C256*500</f>
        <v>0</v>
      </c>
      <c r="J256" s="7">
        <f t="shared" ref="J256:J264" si="130">I256+E256+B256</f>
        <v>0</v>
      </c>
      <c r="K256" s="7">
        <f t="shared" ref="K256:K264" si="131">I256+B256</f>
        <v>0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tr">
        <f t="shared" si="126"/>
        <v>rosa</v>
      </c>
      <c r="B257" s="3"/>
      <c r="C257" s="3"/>
      <c r="D257" s="3"/>
      <c r="E257" s="3"/>
      <c r="F257" s="3"/>
      <c r="G257" s="7">
        <f t="shared" si="127"/>
        <v>0</v>
      </c>
      <c r="H257" s="7">
        <f t="shared" si="128"/>
        <v>0</v>
      </c>
      <c r="I257" s="7">
        <f t="shared" si="129"/>
        <v>0</v>
      </c>
      <c r="J257" s="7">
        <f t="shared" si="130"/>
        <v>0</v>
      </c>
      <c r="K257" s="7">
        <f t="shared" si="131"/>
        <v>0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tr">
        <f t="shared" si="126"/>
        <v>Gloria </v>
      </c>
      <c r="B258" s="3"/>
      <c r="C258" s="3"/>
      <c r="D258" s="3"/>
      <c r="E258" s="3"/>
      <c r="F258" s="3"/>
      <c r="G258" s="7">
        <f t="shared" si="127"/>
        <v>0</v>
      </c>
      <c r="H258" s="7">
        <f t="shared" si="128"/>
        <v>0</v>
      </c>
      <c r="I258" s="7">
        <f t="shared" si="129"/>
        <v>0</v>
      </c>
      <c r="J258" s="7">
        <f t="shared" si="130"/>
        <v>0</v>
      </c>
      <c r="K258" s="7">
        <f t="shared" si="131"/>
        <v>0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 t="str">
        <f t="shared" si="126"/>
        <v>Adriana</v>
      </c>
      <c r="B259" s="3"/>
      <c r="C259" s="3"/>
      <c r="D259" s="3"/>
      <c r="E259" s="3"/>
      <c r="F259" s="3"/>
      <c r="G259" s="7">
        <f t="shared" si="127"/>
        <v>0</v>
      </c>
      <c r="H259" s="7">
        <f t="shared" si="128"/>
        <v>0</v>
      </c>
      <c r="I259" s="7">
        <f t="shared" si="129"/>
        <v>0</v>
      </c>
      <c r="J259" s="7">
        <f t="shared" si="130"/>
        <v>0</v>
      </c>
      <c r="K259" s="7">
        <f t="shared" si="131"/>
        <v>0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 t="str">
        <f t="shared" si="126"/>
        <v>diana</v>
      </c>
      <c r="B260" s="3"/>
      <c r="C260" s="3"/>
      <c r="D260" s="3"/>
      <c r="E260" s="3"/>
      <c r="F260" s="3"/>
      <c r="G260" s="7">
        <f t="shared" si="127"/>
        <v>0</v>
      </c>
      <c r="H260" s="7">
        <f t="shared" si="128"/>
        <v>0</v>
      </c>
      <c r="I260" s="7">
        <f t="shared" si="129"/>
        <v>0</v>
      </c>
      <c r="J260" s="7">
        <f t="shared" si="130"/>
        <v>0</v>
      </c>
      <c r="K260" s="7">
        <f t="shared" si="131"/>
        <v>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tr">
        <f t="shared" si="126"/>
        <v>Andrea</v>
      </c>
      <c r="B261" s="7">
        <v>12.1</v>
      </c>
      <c r="C261" s="7">
        <v>1.0</v>
      </c>
      <c r="D261" s="7">
        <v>428.15</v>
      </c>
      <c r="E261" s="7">
        <v>428.15</v>
      </c>
      <c r="F261" s="7">
        <v>-1.96</v>
      </c>
      <c r="G261" s="7">
        <f t="shared" si="127"/>
        <v>0</v>
      </c>
      <c r="H261" s="7">
        <f t="shared" si="128"/>
        <v>-1.96</v>
      </c>
      <c r="I261" s="7">
        <f t="shared" si="129"/>
        <v>500</v>
      </c>
      <c r="J261" s="7">
        <f t="shared" si="130"/>
        <v>940.25</v>
      </c>
      <c r="K261" s="7">
        <f t="shared" si="131"/>
        <v>512.1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 t="str">
        <f t="shared" si="126"/>
        <v>Erick</v>
      </c>
      <c r="B262" s="13">
        <v>40.96</v>
      </c>
      <c r="C262" s="7">
        <v>1.0</v>
      </c>
      <c r="D262" s="7">
        <v>913.07</v>
      </c>
      <c r="E262" s="7">
        <v>913.07</v>
      </c>
      <c r="F262" s="7">
        <v>0.44</v>
      </c>
      <c r="G262" s="7">
        <f t="shared" si="127"/>
        <v>0</v>
      </c>
      <c r="H262" s="7">
        <f t="shared" si="128"/>
        <v>0.44</v>
      </c>
      <c r="I262" s="7">
        <f t="shared" si="129"/>
        <v>500</v>
      </c>
      <c r="J262" s="7">
        <f t="shared" si="130"/>
        <v>1454.03</v>
      </c>
      <c r="K262" s="7">
        <f t="shared" si="131"/>
        <v>540.96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tr">
        <f t="shared" si="126"/>
        <v>Carlos</v>
      </c>
      <c r="B263" s="7">
        <v>493.17</v>
      </c>
      <c r="C263" s="7">
        <v>2.0</v>
      </c>
      <c r="D263" s="7">
        <v>1811.06</v>
      </c>
      <c r="E263" s="7">
        <v>1811.06</v>
      </c>
      <c r="F263" s="7">
        <v>1.3</v>
      </c>
      <c r="G263" s="7">
        <f t="shared" si="127"/>
        <v>0</v>
      </c>
      <c r="H263" s="7">
        <f t="shared" si="128"/>
        <v>1.3</v>
      </c>
      <c r="I263" s="7">
        <f t="shared" si="129"/>
        <v>1000</v>
      </c>
      <c r="J263" s="7">
        <f t="shared" si="130"/>
        <v>3304.23</v>
      </c>
      <c r="K263" s="7">
        <f t="shared" si="131"/>
        <v>1493.17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tr">
        <f t="shared" si="126"/>
        <v>Tathy</v>
      </c>
      <c r="B264" s="7">
        <v>100.0</v>
      </c>
      <c r="C264" s="7">
        <v>0.0</v>
      </c>
      <c r="D264" s="7">
        <v>90.81</v>
      </c>
      <c r="E264" s="7">
        <v>90.81</v>
      </c>
      <c r="F264" s="7">
        <v>1.11</v>
      </c>
      <c r="G264" s="7">
        <f t="shared" si="127"/>
        <v>0</v>
      </c>
      <c r="H264" s="7">
        <f t="shared" si="128"/>
        <v>1.11</v>
      </c>
      <c r="I264" s="7">
        <f t="shared" si="129"/>
        <v>0</v>
      </c>
      <c r="J264" s="7">
        <f t="shared" si="130"/>
        <v>190.81</v>
      </c>
      <c r="K264" s="7">
        <f t="shared" si="131"/>
        <v>100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7">
        <f>SUM(B256:B264)</f>
        <v>646.23</v>
      </c>
      <c r="C265" s="3"/>
      <c r="D265" s="7">
        <f t="shared" ref="D265:K265" si="132">SUM(D256:D264)</f>
        <v>3243.09</v>
      </c>
      <c r="E265" s="7">
        <f t="shared" si="132"/>
        <v>3243.09</v>
      </c>
      <c r="F265" s="7">
        <f t="shared" si="132"/>
        <v>0.89</v>
      </c>
      <c r="G265" s="7">
        <f t="shared" si="132"/>
        <v>0</v>
      </c>
      <c r="H265" s="7">
        <f t="shared" si="132"/>
        <v>0.89</v>
      </c>
      <c r="I265" s="7">
        <f t="shared" si="132"/>
        <v>2000</v>
      </c>
      <c r="J265" s="7">
        <f t="shared" si="132"/>
        <v>5889.32</v>
      </c>
      <c r="K265" s="7">
        <f t="shared" si="132"/>
        <v>2646.23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8">
      <c r="A268" s="3" t="s">
        <v>0</v>
      </c>
      <c r="B268" s="12">
        <f>B254+1</f>
        <v>46011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 t="s">
        <v>1</v>
      </c>
      <c r="C269" s="3" t="s">
        <v>2</v>
      </c>
      <c r="D269" s="3" t="s">
        <v>3</v>
      </c>
      <c r="E269" s="3" t="s">
        <v>4</v>
      </c>
      <c r="F269" s="3" t="s">
        <v>5</v>
      </c>
      <c r="G269" s="3" t="s">
        <v>6</v>
      </c>
      <c r="H269" s="3" t="s">
        <v>7</v>
      </c>
      <c r="I269" s="3" t="s">
        <v>8</v>
      </c>
      <c r="J269" s="3" t="s">
        <v>9</v>
      </c>
      <c r="K269" s="3" t="s">
        <v>10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tr">
        <f t="shared" ref="A270:A278" si="133">A256</f>
        <v>Ricardo </v>
      </c>
      <c r="B270" s="3"/>
      <c r="C270" s="3"/>
      <c r="D270" s="3"/>
      <c r="E270" s="3"/>
      <c r="F270" s="7"/>
      <c r="G270" s="7">
        <f t="shared" ref="G270:G278" si="134">D270-E270</f>
        <v>0</v>
      </c>
      <c r="H270" s="7">
        <f t="shared" ref="H270:H278" si="135">G270+F270</f>
        <v>0</v>
      </c>
      <c r="I270" s="7">
        <f t="shared" ref="I270:I278" si="136">C270*500</f>
        <v>0</v>
      </c>
      <c r="J270" s="7">
        <f t="shared" ref="J270:J278" si="137">I270+E270+B270</f>
        <v>0</v>
      </c>
      <c r="K270" s="7">
        <f t="shared" ref="K270:K278" si="138">I270+B270</f>
        <v>0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tr">
        <f t="shared" si="133"/>
        <v>rosa</v>
      </c>
      <c r="B271" s="3"/>
      <c r="C271" s="3"/>
      <c r="D271" s="3"/>
      <c r="E271" s="3"/>
      <c r="F271" s="3"/>
      <c r="G271" s="7">
        <f t="shared" si="134"/>
        <v>0</v>
      </c>
      <c r="H271" s="7">
        <f t="shared" si="135"/>
        <v>0</v>
      </c>
      <c r="I271" s="7">
        <f t="shared" si="136"/>
        <v>0</v>
      </c>
      <c r="J271" s="7">
        <f t="shared" si="137"/>
        <v>0</v>
      </c>
      <c r="K271" s="7">
        <f t="shared" si="138"/>
        <v>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tr">
        <f t="shared" si="133"/>
        <v>Gloria </v>
      </c>
      <c r="B272" s="8"/>
      <c r="C272" s="8"/>
      <c r="D272" s="8"/>
      <c r="E272" s="8"/>
      <c r="F272" s="8"/>
      <c r="G272" s="7">
        <f t="shared" si="134"/>
        <v>0</v>
      </c>
      <c r="H272" s="7">
        <f t="shared" si="135"/>
        <v>0</v>
      </c>
      <c r="I272" s="7">
        <f t="shared" si="136"/>
        <v>0</v>
      </c>
      <c r="J272" s="7">
        <f t="shared" si="137"/>
        <v>0</v>
      </c>
      <c r="K272" s="7">
        <f t="shared" si="138"/>
        <v>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 t="str">
        <f t="shared" si="133"/>
        <v>Adriana</v>
      </c>
      <c r="B273" s="8"/>
      <c r="C273" s="8"/>
      <c r="D273" s="8"/>
      <c r="E273" s="8"/>
      <c r="F273" s="8"/>
      <c r="G273" s="7">
        <f t="shared" si="134"/>
        <v>0</v>
      </c>
      <c r="H273" s="7">
        <f t="shared" si="135"/>
        <v>0</v>
      </c>
      <c r="I273" s="7">
        <f t="shared" si="136"/>
        <v>0</v>
      </c>
      <c r="J273" s="7">
        <f t="shared" si="137"/>
        <v>0</v>
      </c>
      <c r="K273" s="7">
        <f t="shared" si="138"/>
        <v>0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 t="str">
        <f t="shared" si="133"/>
        <v>diana</v>
      </c>
      <c r="B274" s="8"/>
      <c r="C274" s="8"/>
      <c r="D274" s="8"/>
      <c r="E274" s="8"/>
      <c r="F274" s="8"/>
      <c r="G274" s="7">
        <f t="shared" si="134"/>
        <v>0</v>
      </c>
      <c r="H274" s="7">
        <f t="shared" si="135"/>
        <v>0</v>
      </c>
      <c r="I274" s="7">
        <f t="shared" si="136"/>
        <v>0</v>
      </c>
      <c r="J274" s="7">
        <f t="shared" si="137"/>
        <v>0</v>
      </c>
      <c r="K274" s="7">
        <f t="shared" si="138"/>
        <v>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 t="str">
        <f t="shared" si="133"/>
        <v>Andrea</v>
      </c>
      <c r="B275" s="3"/>
      <c r="C275" s="3"/>
      <c r="D275" s="3"/>
      <c r="E275" s="3"/>
      <c r="F275" s="3"/>
      <c r="G275" s="7">
        <f t="shared" si="134"/>
        <v>0</v>
      </c>
      <c r="H275" s="7">
        <f t="shared" si="135"/>
        <v>0</v>
      </c>
      <c r="I275" s="7">
        <f t="shared" si="136"/>
        <v>0</v>
      </c>
      <c r="J275" s="7">
        <f t="shared" si="137"/>
        <v>0</v>
      </c>
      <c r="K275" s="7">
        <f t="shared" si="138"/>
        <v>0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 t="str">
        <f t="shared" si="133"/>
        <v>Erick</v>
      </c>
      <c r="B276" s="3"/>
      <c r="C276" s="3"/>
      <c r="D276" s="3"/>
      <c r="E276" s="3"/>
      <c r="F276" s="3"/>
      <c r="G276" s="7">
        <f t="shared" si="134"/>
        <v>0</v>
      </c>
      <c r="H276" s="7">
        <f t="shared" si="135"/>
        <v>0</v>
      </c>
      <c r="I276" s="7">
        <f t="shared" si="136"/>
        <v>0</v>
      </c>
      <c r="J276" s="7">
        <f t="shared" si="137"/>
        <v>0</v>
      </c>
      <c r="K276" s="7">
        <f t="shared" si="138"/>
        <v>0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tr">
        <f t="shared" si="133"/>
        <v>Carlos</v>
      </c>
      <c r="B277" s="3"/>
      <c r="C277" s="3"/>
      <c r="D277" s="3"/>
      <c r="E277" s="3"/>
      <c r="F277" s="3"/>
      <c r="G277" s="7">
        <f t="shared" si="134"/>
        <v>0</v>
      </c>
      <c r="H277" s="7">
        <f t="shared" si="135"/>
        <v>0</v>
      </c>
      <c r="I277" s="7">
        <f t="shared" si="136"/>
        <v>0</v>
      </c>
      <c r="J277" s="7">
        <f t="shared" si="137"/>
        <v>0</v>
      </c>
      <c r="K277" s="7">
        <f t="shared" si="138"/>
        <v>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tr">
        <f t="shared" si="133"/>
        <v>Tathy</v>
      </c>
      <c r="B278" s="3"/>
      <c r="C278" s="3"/>
      <c r="D278" s="3"/>
      <c r="E278" s="3"/>
      <c r="F278" s="3"/>
      <c r="G278" s="7">
        <f t="shared" si="134"/>
        <v>0</v>
      </c>
      <c r="H278" s="7">
        <f t="shared" si="135"/>
        <v>0</v>
      </c>
      <c r="I278" s="7">
        <f t="shared" si="136"/>
        <v>0</v>
      </c>
      <c r="J278" s="7">
        <f t="shared" si="137"/>
        <v>0</v>
      </c>
      <c r="K278" s="7">
        <f t="shared" si="138"/>
        <v>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7">
        <f>SUM(B270:B278)</f>
        <v>0</v>
      </c>
      <c r="C279" s="3"/>
      <c r="D279" s="7">
        <f t="shared" ref="D279:K279" si="139">SUM(D270:D278)</f>
        <v>0</v>
      </c>
      <c r="E279" s="7">
        <f t="shared" si="139"/>
        <v>0</v>
      </c>
      <c r="F279" s="7">
        <f t="shared" si="139"/>
        <v>0</v>
      </c>
      <c r="G279" s="7">
        <f t="shared" si="139"/>
        <v>0</v>
      </c>
      <c r="H279" s="7">
        <f t="shared" si="139"/>
        <v>0</v>
      </c>
      <c r="I279" s="7">
        <f t="shared" si="139"/>
        <v>0</v>
      </c>
      <c r="J279" s="7">
        <f t="shared" si="139"/>
        <v>0</v>
      </c>
      <c r="K279" s="7">
        <f t="shared" si="139"/>
        <v>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2">
      <c r="A282" s="3" t="s">
        <v>0</v>
      </c>
      <c r="B282" s="12">
        <f>B268+1</f>
        <v>46012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 t="s">
        <v>1</v>
      </c>
      <c r="C283" s="3" t="s">
        <v>2</v>
      </c>
      <c r="D283" s="3" t="s">
        <v>3</v>
      </c>
      <c r="E283" s="3" t="s">
        <v>4</v>
      </c>
      <c r="F283" s="3" t="s">
        <v>5</v>
      </c>
      <c r="G283" s="3" t="s">
        <v>6</v>
      </c>
      <c r="H283" s="3" t="s">
        <v>7</v>
      </c>
      <c r="I283" s="3" t="s">
        <v>8</v>
      </c>
      <c r="J283" s="3" t="s">
        <v>9</v>
      </c>
      <c r="K283" s="3" t="s">
        <v>10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tr">
        <f t="shared" ref="A284:A292" si="140">A270</f>
        <v>Ricardo </v>
      </c>
      <c r="B284" s="3"/>
      <c r="C284" s="3"/>
      <c r="D284" s="3"/>
      <c r="E284" s="3"/>
      <c r="F284" s="7">
        <v>0.0</v>
      </c>
      <c r="G284" s="7">
        <f t="shared" ref="G284:G292" si="141">D284-E284</f>
        <v>0</v>
      </c>
      <c r="H284" s="7">
        <f t="shared" ref="H284:H292" si="142">G284+F284</f>
        <v>0</v>
      </c>
      <c r="I284" s="7">
        <f t="shared" ref="I284:I292" si="143">C284*500</f>
        <v>0</v>
      </c>
      <c r="J284" s="7">
        <f t="shared" ref="J284:J292" si="144">I284+E284+B284</f>
        <v>0</v>
      </c>
      <c r="K284" s="7">
        <f t="shared" ref="K284:K292" si="145">I284+B284</f>
        <v>0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tr">
        <f t="shared" si="140"/>
        <v>rosa</v>
      </c>
      <c r="B285" s="3"/>
      <c r="C285" s="3"/>
      <c r="D285" s="3"/>
      <c r="E285" s="3"/>
      <c r="F285" s="3"/>
      <c r="G285" s="7">
        <f t="shared" si="141"/>
        <v>0</v>
      </c>
      <c r="H285" s="7">
        <f t="shared" si="142"/>
        <v>0</v>
      </c>
      <c r="I285" s="7">
        <f t="shared" si="143"/>
        <v>0</v>
      </c>
      <c r="J285" s="7">
        <f t="shared" si="144"/>
        <v>0</v>
      </c>
      <c r="K285" s="7">
        <f t="shared" si="145"/>
        <v>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tr">
        <f t="shared" si="140"/>
        <v>Gloria </v>
      </c>
      <c r="B286" s="8"/>
      <c r="C286" s="8"/>
      <c r="D286" s="8"/>
      <c r="E286" s="8"/>
      <c r="F286" s="8"/>
      <c r="G286" s="7">
        <f t="shared" si="141"/>
        <v>0</v>
      </c>
      <c r="H286" s="7">
        <f t="shared" si="142"/>
        <v>0</v>
      </c>
      <c r="I286" s="7">
        <f t="shared" si="143"/>
        <v>0</v>
      </c>
      <c r="J286" s="7">
        <f t="shared" si="144"/>
        <v>0</v>
      </c>
      <c r="K286" s="7">
        <f t="shared" si="145"/>
        <v>0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 t="str">
        <f t="shared" si="140"/>
        <v>Adriana</v>
      </c>
      <c r="B287" s="3"/>
      <c r="C287" s="3"/>
      <c r="D287" s="3"/>
      <c r="E287" s="3"/>
      <c r="F287" s="3"/>
      <c r="G287" s="7">
        <f t="shared" si="141"/>
        <v>0</v>
      </c>
      <c r="H287" s="7">
        <f t="shared" si="142"/>
        <v>0</v>
      </c>
      <c r="I287" s="7">
        <f t="shared" si="143"/>
        <v>0</v>
      </c>
      <c r="J287" s="7">
        <f t="shared" si="144"/>
        <v>0</v>
      </c>
      <c r="K287" s="7">
        <f t="shared" si="145"/>
        <v>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 t="str">
        <f t="shared" si="140"/>
        <v>diana</v>
      </c>
      <c r="B288" s="3"/>
      <c r="C288" s="3"/>
      <c r="D288" s="3"/>
      <c r="E288" s="3"/>
      <c r="F288" s="3"/>
      <c r="G288" s="7">
        <f t="shared" si="141"/>
        <v>0</v>
      </c>
      <c r="H288" s="7">
        <f t="shared" si="142"/>
        <v>0</v>
      </c>
      <c r="I288" s="7">
        <f t="shared" si="143"/>
        <v>0</v>
      </c>
      <c r="J288" s="7">
        <f t="shared" si="144"/>
        <v>0</v>
      </c>
      <c r="K288" s="7">
        <f t="shared" si="145"/>
        <v>0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 t="str">
        <f t="shared" si="140"/>
        <v>Andrea</v>
      </c>
      <c r="B289" s="3"/>
      <c r="C289" s="3"/>
      <c r="D289" s="3"/>
      <c r="E289" s="3"/>
      <c r="F289" s="3"/>
      <c r="G289" s="7">
        <f t="shared" si="141"/>
        <v>0</v>
      </c>
      <c r="H289" s="7">
        <f t="shared" si="142"/>
        <v>0</v>
      </c>
      <c r="I289" s="7">
        <f t="shared" si="143"/>
        <v>0</v>
      </c>
      <c r="J289" s="7">
        <f t="shared" si="144"/>
        <v>0</v>
      </c>
      <c r="K289" s="7">
        <f t="shared" si="145"/>
        <v>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 t="str">
        <f t="shared" si="140"/>
        <v>Erick</v>
      </c>
      <c r="B290" s="7"/>
      <c r="C290" s="3"/>
      <c r="D290" s="7"/>
      <c r="E290" s="7"/>
      <c r="F290" s="7"/>
      <c r="G290" s="7">
        <f t="shared" si="141"/>
        <v>0</v>
      </c>
      <c r="H290" s="7">
        <f t="shared" si="142"/>
        <v>0</v>
      </c>
      <c r="I290" s="7">
        <f t="shared" si="143"/>
        <v>0</v>
      </c>
      <c r="J290" s="7">
        <f t="shared" si="144"/>
        <v>0</v>
      </c>
      <c r="K290" s="7">
        <f t="shared" si="145"/>
        <v>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tr">
        <f t="shared" si="140"/>
        <v>Carlos</v>
      </c>
      <c r="B291" s="3"/>
      <c r="C291" s="3"/>
      <c r="D291" s="3"/>
      <c r="E291" s="3"/>
      <c r="F291" s="3"/>
      <c r="G291" s="7">
        <f t="shared" si="141"/>
        <v>0</v>
      </c>
      <c r="H291" s="7">
        <f t="shared" si="142"/>
        <v>0</v>
      </c>
      <c r="I291" s="7">
        <f t="shared" si="143"/>
        <v>0</v>
      </c>
      <c r="J291" s="7">
        <f t="shared" si="144"/>
        <v>0</v>
      </c>
      <c r="K291" s="7">
        <f t="shared" si="145"/>
        <v>0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tr">
        <f t="shared" si="140"/>
        <v>Tathy</v>
      </c>
      <c r="B292" s="3"/>
      <c r="C292" s="3"/>
      <c r="D292" s="3"/>
      <c r="E292" s="3"/>
      <c r="F292" s="3"/>
      <c r="G292" s="7">
        <f t="shared" si="141"/>
        <v>0</v>
      </c>
      <c r="H292" s="7">
        <f t="shared" si="142"/>
        <v>0</v>
      </c>
      <c r="I292" s="7">
        <f t="shared" si="143"/>
        <v>0</v>
      </c>
      <c r="J292" s="7">
        <f t="shared" si="144"/>
        <v>0</v>
      </c>
      <c r="K292" s="7">
        <f t="shared" si="145"/>
        <v>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7">
        <f>SUM(B284:B292)</f>
        <v>0</v>
      </c>
      <c r="C293" s="3"/>
      <c r="D293" s="7">
        <f t="shared" ref="D293:K293" si="146">SUM(D284:D292)</f>
        <v>0</v>
      </c>
      <c r="E293" s="7">
        <f t="shared" si="146"/>
        <v>0</v>
      </c>
      <c r="F293" s="7">
        <f t="shared" si="146"/>
        <v>0</v>
      </c>
      <c r="G293" s="7">
        <f t="shared" si="146"/>
        <v>0</v>
      </c>
      <c r="H293" s="7">
        <f t="shared" si="146"/>
        <v>0</v>
      </c>
      <c r="I293" s="7">
        <f t="shared" si="146"/>
        <v>0</v>
      </c>
      <c r="J293" s="7">
        <f t="shared" si="146"/>
        <v>0</v>
      </c>
      <c r="K293" s="7">
        <f t="shared" si="146"/>
        <v>0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6">
      <c r="A296" s="3" t="s">
        <v>0</v>
      </c>
      <c r="B296" s="12">
        <f>B282+1</f>
        <v>46013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 t="s">
        <v>1</v>
      </c>
      <c r="C297" s="3" t="s">
        <v>2</v>
      </c>
      <c r="D297" s="3" t="s">
        <v>3</v>
      </c>
      <c r="E297" s="3" t="s">
        <v>4</v>
      </c>
      <c r="F297" s="3" t="s">
        <v>5</v>
      </c>
      <c r="G297" s="3" t="s">
        <v>6</v>
      </c>
      <c r="H297" s="3" t="s">
        <v>7</v>
      </c>
      <c r="I297" s="3" t="s">
        <v>8</v>
      </c>
      <c r="J297" s="3" t="s">
        <v>9</v>
      </c>
      <c r="K297" s="3" t="s">
        <v>10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tr">
        <f t="shared" ref="A298:A306" si="147">A284</f>
        <v>Ricardo </v>
      </c>
      <c r="B298" s="10"/>
      <c r="C298" s="3"/>
      <c r="D298" s="3"/>
      <c r="E298" s="3"/>
      <c r="F298" s="3"/>
      <c r="G298" s="7">
        <f t="shared" ref="G298:G306" si="148">D298-E298</f>
        <v>0</v>
      </c>
      <c r="H298" s="7">
        <f t="shared" ref="H298:H306" si="149">G298+F298</f>
        <v>0</v>
      </c>
      <c r="I298" s="7">
        <f t="shared" ref="I298:I306" si="150">C298*500</f>
        <v>0</v>
      </c>
      <c r="J298" s="7">
        <f t="shared" ref="J298:J306" si="151">I298+E298+B298</f>
        <v>0</v>
      </c>
      <c r="K298" s="7">
        <f t="shared" ref="K298:K306" si="152">I298+B298</f>
        <v>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tr">
        <f t="shared" si="147"/>
        <v>rosa</v>
      </c>
      <c r="B299" s="7">
        <v>88.5</v>
      </c>
      <c r="C299" s="7">
        <v>4.0</v>
      </c>
      <c r="D299" s="7">
        <v>2149.28</v>
      </c>
      <c r="E299" s="7">
        <v>2149.28</v>
      </c>
      <c r="F299" s="8">
        <v>2.08</v>
      </c>
      <c r="G299" s="7">
        <f t="shared" si="148"/>
        <v>0</v>
      </c>
      <c r="H299" s="7">
        <f t="shared" si="149"/>
        <v>2.08</v>
      </c>
      <c r="I299" s="7">
        <f t="shared" si="150"/>
        <v>2000</v>
      </c>
      <c r="J299" s="7">
        <f t="shared" si="151"/>
        <v>4237.78</v>
      </c>
      <c r="K299" s="7">
        <f t="shared" si="152"/>
        <v>2088.5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tr">
        <f t="shared" si="147"/>
        <v>Gloria </v>
      </c>
      <c r="B300" s="3"/>
      <c r="C300" s="3"/>
      <c r="D300" s="3"/>
      <c r="E300" s="3"/>
      <c r="F300" s="3"/>
      <c r="G300" s="7">
        <f t="shared" si="148"/>
        <v>0</v>
      </c>
      <c r="H300" s="7">
        <f t="shared" si="149"/>
        <v>0</v>
      </c>
      <c r="I300" s="7">
        <f t="shared" si="150"/>
        <v>0</v>
      </c>
      <c r="J300" s="7">
        <f t="shared" si="151"/>
        <v>0</v>
      </c>
      <c r="K300" s="7">
        <f t="shared" si="152"/>
        <v>0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 t="str">
        <f t="shared" si="147"/>
        <v>Adriana</v>
      </c>
      <c r="B301" s="3"/>
      <c r="C301" s="3"/>
      <c r="D301" s="3"/>
      <c r="E301" s="3"/>
      <c r="F301" s="3"/>
      <c r="G301" s="7">
        <f t="shared" si="148"/>
        <v>0</v>
      </c>
      <c r="H301" s="7">
        <f t="shared" si="149"/>
        <v>0</v>
      </c>
      <c r="I301" s="7">
        <f t="shared" si="150"/>
        <v>0</v>
      </c>
      <c r="J301" s="7">
        <f t="shared" si="151"/>
        <v>0</v>
      </c>
      <c r="K301" s="7">
        <f t="shared" si="152"/>
        <v>0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 t="str">
        <f t="shared" si="147"/>
        <v>diana</v>
      </c>
      <c r="B302" s="3"/>
      <c r="C302" s="3"/>
      <c r="D302" s="3"/>
      <c r="E302" s="3"/>
      <c r="F302" s="3"/>
      <c r="G302" s="7">
        <f t="shared" si="148"/>
        <v>0</v>
      </c>
      <c r="H302" s="7">
        <f t="shared" si="149"/>
        <v>0</v>
      </c>
      <c r="I302" s="7">
        <f t="shared" si="150"/>
        <v>0</v>
      </c>
      <c r="J302" s="7">
        <f t="shared" si="151"/>
        <v>0</v>
      </c>
      <c r="K302" s="7">
        <f t="shared" si="152"/>
        <v>0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 t="str">
        <f t="shared" si="147"/>
        <v>Andrea</v>
      </c>
      <c r="B303" s="7">
        <v>483.85</v>
      </c>
      <c r="C303" s="7">
        <v>1.0</v>
      </c>
      <c r="D303" s="7">
        <v>1021.45</v>
      </c>
      <c r="E303" s="7">
        <v>1021.45</v>
      </c>
      <c r="F303" s="7">
        <v>0.23</v>
      </c>
      <c r="G303" s="7">
        <f t="shared" si="148"/>
        <v>0</v>
      </c>
      <c r="H303" s="7">
        <f t="shared" si="149"/>
        <v>0.23</v>
      </c>
      <c r="I303" s="7">
        <f t="shared" si="150"/>
        <v>500</v>
      </c>
      <c r="J303" s="7">
        <f t="shared" si="151"/>
        <v>2005.3</v>
      </c>
      <c r="K303" s="7">
        <f t="shared" si="152"/>
        <v>983.85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 t="str">
        <f t="shared" si="147"/>
        <v>Erick</v>
      </c>
      <c r="B304" s="3"/>
      <c r="C304" s="4"/>
      <c r="D304" s="3"/>
      <c r="E304" s="3"/>
      <c r="F304" s="3"/>
      <c r="G304" s="7">
        <f t="shared" si="148"/>
        <v>0</v>
      </c>
      <c r="H304" s="7">
        <f t="shared" si="149"/>
        <v>0</v>
      </c>
      <c r="I304" s="7">
        <f t="shared" si="150"/>
        <v>0</v>
      </c>
      <c r="J304" s="7">
        <f t="shared" si="151"/>
        <v>0</v>
      </c>
      <c r="K304" s="7">
        <f t="shared" si="152"/>
        <v>0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tr">
        <f t="shared" si="147"/>
        <v>Carlos</v>
      </c>
      <c r="B305" s="3"/>
      <c r="C305" s="3"/>
      <c r="D305" s="3"/>
      <c r="E305" s="3"/>
      <c r="F305" s="3"/>
      <c r="G305" s="7">
        <f t="shared" si="148"/>
        <v>0</v>
      </c>
      <c r="H305" s="7">
        <f t="shared" si="149"/>
        <v>0</v>
      </c>
      <c r="I305" s="7">
        <f t="shared" si="150"/>
        <v>0</v>
      </c>
      <c r="J305" s="7">
        <f t="shared" si="151"/>
        <v>0</v>
      </c>
      <c r="K305" s="7">
        <f t="shared" si="152"/>
        <v>0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tr">
        <f t="shared" si="147"/>
        <v>Tathy</v>
      </c>
      <c r="B306" s="7">
        <v>171.5</v>
      </c>
      <c r="C306" s="3"/>
      <c r="D306" s="7">
        <v>187.67</v>
      </c>
      <c r="E306" s="7">
        <v>187.67</v>
      </c>
      <c r="F306" s="7">
        <v>0.95</v>
      </c>
      <c r="G306" s="7">
        <f t="shared" si="148"/>
        <v>0</v>
      </c>
      <c r="H306" s="7">
        <f t="shared" si="149"/>
        <v>0.95</v>
      </c>
      <c r="I306" s="7">
        <f t="shared" si="150"/>
        <v>0</v>
      </c>
      <c r="J306" s="7">
        <f t="shared" si="151"/>
        <v>359.17</v>
      </c>
      <c r="K306" s="7">
        <f t="shared" si="152"/>
        <v>171.5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7">
        <f>SUM(B298:B306)</f>
        <v>743.85</v>
      </c>
      <c r="C307" s="3"/>
      <c r="D307" s="7">
        <f t="shared" ref="D307:K307" si="153">SUM(D298:D306)</f>
        <v>3358.4</v>
      </c>
      <c r="E307" s="7">
        <f t="shared" si="153"/>
        <v>3358.4</v>
      </c>
      <c r="F307" s="7">
        <f t="shared" si="153"/>
        <v>3.26</v>
      </c>
      <c r="G307" s="7">
        <f t="shared" si="153"/>
        <v>0</v>
      </c>
      <c r="H307" s="7">
        <f t="shared" si="153"/>
        <v>3.26</v>
      </c>
      <c r="I307" s="7">
        <f t="shared" si="153"/>
        <v>2500</v>
      </c>
      <c r="J307" s="7">
        <f t="shared" si="153"/>
        <v>6602.25</v>
      </c>
      <c r="K307" s="7">
        <f t="shared" si="153"/>
        <v>3243.85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10">
      <c r="A310" s="3" t="s">
        <v>0</v>
      </c>
      <c r="B310" s="12">
        <f>B296+1</f>
        <v>46014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 t="s">
        <v>1</v>
      </c>
      <c r="C311" s="3" t="s">
        <v>2</v>
      </c>
      <c r="D311" s="3" t="s">
        <v>3</v>
      </c>
      <c r="E311" s="3" t="s">
        <v>4</v>
      </c>
      <c r="F311" s="3" t="s">
        <v>5</v>
      </c>
      <c r="G311" s="3" t="s">
        <v>6</v>
      </c>
      <c r="H311" s="3" t="s">
        <v>7</v>
      </c>
      <c r="I311" s="3" t="s">
        <v>8</v>
      </c>
      <c r="J311" s="3" t="s">
        <v>9</v>
      </c>
      <c r="K311" s="3" t="s">
        <v>10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tr">
        <f t="shared" ref="A312:A320" si="154">A298</f>
        <v>Ricardo </v>
      </c>
      <c r="B312" s="10"/>
      <c r="C312" s="4"/>
      <c r="D312" s="3"/>
      <c r="E312" s="3"/>
      <c r="F312" s="3"/>
      <c r="G312" s="7">
        <f t="shared" ref="G312:G320" si="155">D312-E312</f>
        <v>0</v>
      </c>
      <c r="H312" s="7">
        <f t="shared" ref="H312:H320" si="156">G312+F312</f>
        <v>0</v>
      </c>
      <c r="I312" s="7">
        <f t="shared" ref="I312:I320" si="157">C312*500</f>
        <v>0</v>
      </c>
      <c r="J312" s="7">
        <f t="shared" ref="J312:J320" si="158">I312+E312+B312</f>
        <v>0</v>
      </c>
      <c r="K312" s="7">
        <f t="shared" ref="K312:K320" si="159">I312+B312</f>
        <v>0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tr">
        <f t="shared" si="154"/>
        <v>rosa</v>
      </c>
      <c r="B313" s="7">
        <v>307.0</v>
      </c>
      <c r="C313" s="7">
        <v>3.0</v>
      </c>
      <c r="D313" s="7">
        <v>1835.63</v>
      </c>
      <c r="E313" s="7">
        <v>1835.63</v>
      </c>
      <c r="F313" s="8">
        <v>1.09</v>
      </c>
      <c r="G313" s="7">
        <f t="shared" si="155"/>
        <v>0</v>
      </c>
      <c r="H313" s="7">
        <f t="shared" si="156"/>
        <v>1.09</v>
      </c>
      <c r="I313" s="7">
        <f t="shared" si="157"/>
        <v>1500</v>
      </c>
      <c r="J313" s="7">
        <f t="shared" si="158"/>
        <v>3642.63</v>
      </c>
      <c r="K313" s="7">
        <f t="shared" si="159"/>
        <v>1807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tr">
        <f t="shared" si="154"/>
        <v>Gloria </v>
      </c>
      <c r="B314" s="3"/>
      <c r="C314" s="3"/>
      <c r="D314" s="3"/>
      <c r="E314" s="3"/>
      <c r="F314" s="3"/>
      <c r="G314" s="7">
        <f t="shared" si="155"/>
        <v>0</v>
      </c>
      <c r="H314" s="7">
        <f t="shared" si="156"/>
        <v>0</v>
      </c>
      <c r="I314" s="7">
        <f t="shared" si="157"/>
        <v>0</v>
      </c>
      <c r="J314" s="7">
        <f t="shared" si="158"/>
        <v>0</v>
      </c>
      <c r="K314" s="7">
        <f t="shared" si="159"/>
        <v>0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 t="str">
        <f t="shared" si="154"/>
        <v>Adriana</v>
      </c>
      <c r="B315" s="3"/>
      <c r="C315" s="3"/>
      <c r="D315" s="3"/>
      <c r="E315" s="3"/>
      <c r="F315" s="3"/>
      <c r="G315" s="7">
        <f t="shared" si="155"/>
        <v>0</v>
      </c>
      <c r="H315" s="7">
        <f t="shared" si="156"/>
        <v>0</v>
      </c>
      <c r="I315" s="7">
        <f t="shared" si="157"/>
        <v>0</v>
      </c>
      <c r="J315" s="7">
        <f t="shared" si="158"/>
        <v>0</v>
      </c>
      <c r="K315" s="7">
        <f t="shared" si="159"/>
        <v>0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 t="str">
        <f t="shared" si="154"/>
        <v>diana</v>
      </c>
      <c r="B316" s="3"/>
      <c r="C316" s="3"/>
      <c r="D316" s="3"/>
      <c r="E316" s="3"/>
      <c r="F316" s="3"/>
      <c r="G316" s="7">
        <f t="shared" si="155"/>
        <v>0</v>
      </c>
      <c r="H316" s="7">
        <f t="shared" si="156"/>
        <v>0</v>
      </c>
      <c r="I316" s="7">
        <f t="shared" si="157"/>
        <v>0</v>
      </c>
      <c r="J316" s="7">
        <f t="shared" si="158"/>
        <v>0</v>
      </c>
      <c r="K316" s="7">
        <f t="shared" si="159"/>
        <v>0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 t="str">
        <f t="shared" si="154"/>
        <v>Andrea</v>
      </c>
      <c r="B317" s="7">
        <v>318.0</v>
      </c>
      <c r="C317" s="3"/>
      <c r="D317" s="7">
        <v>197.73</v>
      </c>
      <c r="E317" s="7">
        <v>197.73</v>
      </c>
      <c r="F317" s="7">
        <v>0.08</v>
      </c>
      <c r="G317" s="7">
        <f t="shared" si="155"/>
        <v>0</v>
      </c>
      <c r="H317" s="7">
        <f t="shared" si="156"/>
        <v>0.08</v>
      </c>
      <c r="I317" s="7">
        <f t="shared" si="157"/>
        <v>0</v>
      </c>
      <c r="J317" s="7">
        <f t="shared" si="158"/>
        <v>515.73</v>
      </c>
      <c r="K317" s="7">
        <f t="shared" si="159"/>
        <v>318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 t="str">
        <f t="shared" si="154"/>
        <v>Erick</v>
      </c>
      <c r="B318" s="3"/>
      <c r="C318" s="3"/>
      <c r="D318" s="3"/>
      <c r="E318" s="3"/>
      <c r="F318" s="3"/>
      <c r="G318" s="7">
        <f t="shared" si="155"/>
        <v>0</v>
      </c>
      <c r="H318" s="7">
        <f t="shared" si="156"/>
        <v>0</v>
      </c>
      <c r="I318" s="7">
        <f t="shared" si="157"/>
        <v>0</v>
      </c>
      <c r="J318" s="7">
        <f t="shared" si="158"/>
        <v>0</v>
      </c>
      <c r="K318" s="7">
        <f t="shared" si="159"/>
        <v>0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tr">
        <f t="shared" si="154"/>
        <v>Carlos</v>
      </c>
      <c r="B319" s="3"/>
      <c r="C319" s="3"/>
      <c r="D319" s="3"/>
      <c r="E319" s="3"/>
      <c r="F319" s="3"/>
      <c r="G319" s="7">
        <f t="shared" si="155"/>
        <v>0</v>
      </c>
      <c r="H319" s="7">
        <f t="shared" si="156"/>
        <v>0</v>
      </c>
      <c r="I319" s="7">
        <f t="shared" si="157"/>
        <v>0</v>
      </c>
      <c r="J319" s="7">
        <f t="shared" si="158"/>
        <v>0</v>
      </c>
      <c r="K319" s="7">
        <f t="shared" si="159"/>
        <v>0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tr">
        <f t="shared" si="154"/>
        <v>Tathy</v>
      </c>
      <c r="B320" s="7">
        <v>57.58</v>
      </c>
      <c r="C320" s="7">
        <v>3.0</v>
      </c>
      <c r="D320" s="7">
        <v>1274.2</v>
      </c>
      <c r="E320" s="7">
        <v>1274.2</v>
      </c>
      <c r="F320" s="7">
        <v>4.87</v>
      </c>
      <c r="G320" s="7">
        <f t="shared" si="155"/>
        <v>0</v>
      </c>
      <c r="H320" s="7">
        <f t="shared" si="156"/>
        <v>4.87</v>
      </c>
      <c r="I320" s="7">
        <f t="shared" si="157"/>
        <v>1500</v>
      </c>
      <c r="J320" s="7">
        <f t="shared" si="158"/>
        <v>2831.78</v>
      </c>
      <c r="K320" s="7">
        <f t="shared" si="159"/>
        <v>1557.58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7">
        <f>SUM(B312:B320)</f>
        <v>682.58</v>
      </c>
      <c r="C321" s="3"/>
      <c r="D321" s="7">
        <f t="shared" ref="D321:K321" si="160">SUM(D312:D320)</f>
        <v>3307.56</v>
      </c>
      <c r="E321" s="7">
        <f t="shared" si="160"/>
        <v>3307.56</v>
      </c>
      <c r="F321" s="7">
        <f t="shared" si="160"/>
        <v>6.04</v>
      </c>
      <c r="G321" s="7">
        <f t="shared" si="160"/>
        <v>0</v>
      </c>
      <c r="H321" s="7">
        <f t="shared" si="160"/>
        <v>6.04</v>
      </c>
      <c r="I321" s="7">
        <f t="shared" si="160"/>
        <v>3000</v>
      </c>
      <c r="J321" s="7">
        <f t="shared" si="160"/>
        <v>6990.14</v>
      </c>
      <c r="K321" s="7">
        <f t="shared" si="160"/>
        <v>3682.58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4">
      <c r="A324" s="3" t="s">
        <v>0</v>
      </c>
      <c r="B324" s="12">
        <f>B310+1</f>
        <v>46015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 t="s">
        <v>1</v>
      </c>
      <c r="C325" s="3" t="s">
        <v>2</v>
      </c>
      <c r="D325" s="3" t="s">
        <v>3</v>
      </c>
      <c r="E325" s="3" t="s">
        <v>4</v>
      </c>
      <c r="F325" s="3" t="s">
        <v>5</v>
      </c>
      <c r="G325" s="3" t="s">
        <v>6</v>
      </c>
      <c r="H325" s="3" t="s">
        <v>7</v>
      </c>
      <c r="I325" s="3" t="s">
        <v>8</v>
      </c>
      <c r="J325" s="3" t="s">
        <v>9</v>
      </c>
      <c r="K325" s="3" t="s">
        <v>10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tr">
        <f t="shared" ref="A326:A334" si="161">A312</f>
        <v>Ricardo </v>
      </c>
      <c r="B326" s="10"/>
      <c r="C326" s="3"/>
      <c r="D326" s="3"/>
      <c r="E326" s="3"/>
      <c r="F326" s="3"/>
      <c r="G326" s="7">
        <f t="shared" ref="G326:G334" si="162">D326-E326</f>
        <v>0</v>
      </c>
      <c r="H326" s="7">
        <f t="shared" ref="H326:H334" si="163">G326+F326</f>
        <v>0</v>
      </c>
      <c r="I326" s="7">
        <f t="shared" ref="I326:I334" si="164">C326*500</f>
        <v>0</v>
      </c>
      <c r="J326" s="7">
        <f t="shared" ref="J326:J334" si="165">I326+E326+B326</f>
        <v>0</v>
      </c>
      <c r="K326" s="7">
        <f t="shared" ref="K326:K334" si="166">I326+B326</f>
        <v>0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tr">
        <f t="shared" si="161"/>
        <v>rosa</v>
      </c>
      <c r="B327" s="3"/>
      <c r="C327" s="3"/>
      <c r="D327" s="3"/>
      <c r="E327" s="3"/>
      <c r="F327" s="3"/>
      <c r="G327" s="7">
        <f t="shared" si="162"/>
        <v>0</v>
      </c>
      <c r="H327" s="7">
        <f t="shared" si="163"/>
        <v>0</v>
      </c>
      <c r="I327" s="7">
        <f t="shared" si="164"/>
        <v>0</v>
      </c>
      <c r="J327" s="7">
        <f t="shared" si="165"/>
        <v>0</v>
      </c>
      <c r="K327" s="7">
        <f t="shared" si="166"/>
        <v>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tr">
        <f t="shared" si="161"/>
        <v>Gloria </v>
      </c>
      <c r="B328" s="3"/>
      <c r="C328" s="3"/>
      <c r="D328" s="3"/>
      <c r="E328" s="3"/>
      <c r="F328" s="3"/>
      <c r="G328" s="7">
        <f t="shared" si="162"/>
        <v>0</v>
      </c>
      <c r="H328" s="7">
        <f t="shared" si="163"/>
        <v>0</v>
      </c>
      <c r="I328" s="7">
        <f t="shared" si="164"/>
        <v>0</v>
      </c>
      <c r="J328" s="7">
        <f t="shared" si="165"/>
        <v>0</v>
      </c>
      <c r="K328" s="7">
        <f t="shared" si="166"/>
        <v>0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 t="str">
        <f t="shared" si="161"/>
        <v>Adriana</v>
      </c>
      <c r="B329" s="3"/>
      <c r="C329" s="3"/>
      <c r="D329" s="3"/>
      <c r="E329" s="3"/>
      <c r="F329" s="3"/>
      <c r="G329" s="7">
        <f t="shared" si="162"/>
        <v>0</v>
      </c>
      <c r="H329" s="7">
        <f t="shared" si="163"/>
        <v>0</v>
      </c>
      <c r="I329" s="7">
        <f t="shared" si="164"/>
        <v>0</v>
      </c>
      <c r="J329" s="7">
        <f t="shared" si="165"/>
        <v>0</v>
      </c>
      <c r="K329" s="7">
        <f t="shared" si="166"/>
        <v>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 t="str">
        <f t="shared" si="161"/>
        <v>diana</v>
      </c>
      <c r="B330" s="3"/>
      <c r="C330" s="3"/>
      <c r="D330" s="3"/>
      <c r="E330" s="3"/>
      <c r="F330" s="3"/>
      <c r="G330" s="7">
        <f t="shared" si="162"/>
        <v>0</v>
      </c>
      <c r="H330" s="7">
        <f t="shared" si="163"/>
        <v>0</v>
      </c>
      <c r="I330" s="7">
        <f t="shared" si="164"/>
        <v>0</v>
      </c>
      <c r="J330" s="7">
        <f t="shared" si="165"/>
        <v>0</v>
      </c>
      <c r="K330" s="7">
        <f t="shared" si="166"/>
        <v>0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 t="str">
        <f t="shared" si="161"/>
        <v>Andrea</v>
      </c>
      <c r="B331" s="3"/>
      <c r="C331" s="3"/>
      <c r="D331" s="3"/>
      <c r="E331" s="3"/>
      <c r="F331" s="3"/>
      <c r="G331" s="7">
        <f t="shared" si="162"/>
        <v>0</v>
      </c>
      <c r="H331" s="7">
        <f t="shared" si="163"/>
        <v>0</v>
      </c>
      <c r="I331" s="7">
        <f t="shared" si="164"/>
        <v>0</v>
      </c>
      <c r="J331" s="7">
        <f t="shared" si="165"/>
        <v>0</v>
      </c>
      <c r="K331" s="7">
        <f t="shared" si="166"/>
        <v>0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 t="str">
        <f t="shared" si="161"/>
        <v>Erick</v>
      </c>
      <c r="B332" s="3"/>
      <c r="C332" s="3"/>
      <c r="D332" s="3"/>
      <c r="E332" s="3"/>
      <c r="F332" s="3"/>
      <c r="G332" s="7">
        <f t="shared" si="162"/>
        <v>0</v>
      </c>
      <c r="H332" s="7">
        <f t="shared" si="163"/>
        <v>0</v>
      </c>
      <c r="I332" s="7">
        <f t="shared" si="164"/>
        <v>0</v>
      </c>
      <c r="J332" s="7">
        <f t="shared" si="165"/>
        <v>0</v>
      </c>
      <c r="K332" s="7">
        <f t="shared" si="166"/>
        <v>0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tr">
        <f t="shared" si="161"/>
        <v>Carlos</v>
      </c>
      <c r="B333" s="7">
        <v>315.59</v>
      </c>
      <c r="C333" s="7">
        <v>4.0</v>
      </c>
      <c r="D333" s="7">
        <v>2510.84</v>
      </c>
      <c r="E333" s="7">
        <v>2510.84</v>
      </c>
      <c r="F333" s="7">
        <v>1.8</v>
      </c>
      <c r="G333" s="7">
        <f t="shared" si="162"/>
        <v>0</v>
      </c>
      <c r="H333" s="7">
        <f t="shared" si="163"/>
        <v>1.8</v>
      </c>
      <c r="I333" s="7">
        <f t="shared" si="164"/>
        <v>2000</v>
      </c>
      <c r="J333" s="7">
        <f t="shared" si="165"/>
        <v>4826.43</v>
      </c>
      <c r="K333" s="7">
        <f t="shared" si="166"/>
        <v>2315.59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tr">
        <f t="shared" si="161"/>
        <v>Tathy</v>
      </c>
      <c r="B334" s="7">
        <v>378.35</v>
      </c>
      <c r="C334" s="7">
        <v>0.0</v>
      </c>
      <c r="D334" s="7">
        <v>347.34</v>
      </c>
      <c r="E334" s="7">
        <v>347.34</v>
      </c>
      <c r="F334" s="7">
        <v>0.07</v>
      </c>
      <c r="G334" s="7">
        <f t="shared" si="162"/>
        <v>0</v>
      </c>
      <c r="H334" s="7">
        <f t="shared" si="163"/>
        <v>0.07</v>
      </c>
      <c r="I334" s="7">
        <f t="shared" si="164"/>
        <v>0</v>
      </c>
      <c r="J334" s="7">
        <f t="shared" si="165"/>
        <v>725.69</v>
      </c>
      <c r="K334" s="7">
        <f t="shared" si="166"/>
        <v>378.35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7">
        <f>SUM(B326:B334)</f>
        <v>693.94</v>
      </c>
      <c r="C335" s="3"/>
      <c r="D335" s="7">
        <f t="shared" ref="D335:K335" si="167">SUM(D326:D334)</f>
        <v>2858.18</v>
      </c>
      <c r="E335" s="7">
        <f t="shared" si="167"/>
        <v>2858.18</v>
      </c>
      <c r="F335" s="7">
        <f t="shared" si="167"/>
        <v>1.87</v>
      </c>
      <c r="G335" s="7">
        <f t="shared" si="167"/>
        <v>0</v>
      </c>
      <c r="H335" s="7">
        <f t="shared" si="167"/>
        <v>1.87</v>
      </c>
      <c r="I335" s="7">
        <f t="shared" si="167"/>
        <v>2000</v>
      </c>
      <c r="J335" s="7">
        <f t="shared" si="167"/>
        <v>5552.12</v>
      </c>
      <c r="K335" s="7">
        <f t="shared" si="167"/>
        <v>2693.94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8">
      <c r="A338" s="3" t="s">
        <v>0</v>
      </c>
      <c r="B338" s="12">
        <f>B324+1</f>
        <v>46016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 t="s">
        <v>1</v>
      </c>
      <c r="C339" s="3" t="s">
        <v>2</v>
      </c>
      <c r="D339" s="3" t="s">
        <v>3</v>
      </c>
      <c r="E339" s="3" t="s">
        <v>4</v>
      </c>
      <c r="F339" s="3" t="s">
        <v>5</v>
      </c>
      <c r="G339" s="3" t="s">
        <v>6</v>
      </c>
      <c r="H339" s="3" t="s">
        <v>7</v>
      </c>
      <c r="I339" s="3" t="s">
        <v>8</v>
      </c>
      <c r="J339" s="3" t="s">
        <v>9</v>
      </c>
      <c r="K339" s="3" t="s">
        <v>10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tr">
        <f t="shared" ref="A340:A348" si="168">A326</f>
        <v>Ricardo </v>
      </c>
      <c r="B340" s="15"/>
      <c r="C340" s="15"/>
      <c r="D340" s="17"/>
      <c r="E340" s="17"/>
      <c r="F340" s="7"/>
      <c r="G340" s="7">
        <f t="shared" ref="G340:G341" si="169">D340-E340</f>
        <v>0</v>
      </c>
      <c r="H340" s="7">
        <f t="shared" ref="H340:H348" si="170">G340+F340</f>
        <v>0</v>
      </c>
      <c r="I340" s="7">
        <f t="shared" ref="I340:I348" si="171">C340*500</f>
        <v>0</v>
      </c>
      <c r="J340" s="7"/>
      <c r="K340" s="7">
        <f t="shared" ref="K340:K348" si="172">I340+B340</f>
        <v>0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tr">
        <f t="shared" si="168"/>
        <v>rosa</v>
      </c>
      <c r="B341" s="3"/>
      <c r="C341" s="3"/>
      <c r="D341" s="3"/>
      <c r="E341" s="3"/>
      <c r="F341" s="3"/>
      <c r="G341" s="7">
        <f t="shared" si="169"/>
        <v>0</v>
      </c>
      <c r="H341" s="7">
        <f t="shared" si="170"/>
        <v>0</v>
      </c>
      <c r="I341" s="7">
        <f t="shared" si="171"/>
        <v>0</v>
      </c>
      <c r="J341" s="7">
        <f t="shared" ref="J341:J347" si="173">I341+E341+J342</f>
        <v>0</v>
      </c>
      <c r="K341" s="7">
        <f t="shared" si="172"/>
        <v>0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tr">
        <f t="shared" si="168"/>
        <v>Gloria </v>
      </c>
      <c r="B342" s="7"/>
      <c r="C342" s="7"/>
      <c r="D342" s="17"/>
      <c r="E342" s="7"/>
      <c r="F342" s="7"/>
      <c r="G342" s="7"/>
      <c r="H342" s="7">
        <f t="shared" si="170"/>
        <v>0</v>
      </c>
      <c r="I342" s="7">
        <f t="shared" si="171"/>
        <v>0</v>
      </c>
      <c r="J342" s="7">
        <f t="shared" si="173"/>
        <v>0</v>
      </c>
      <c r="K342" s="7">
        <f t="shared" si="172"/>
        <v>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 t="str">
        <f t="shared" si="168"/>
        <v>Adriana</v>
      </c>
      <c r="B343" s="7"/>
      <c r="C343" s="7"/>
      <c r="D343" s="7"/>
      <c r="E343" s="7"/>
      <c r="F343" s="7"/>
      <c r="G343" s="7"/>
      <c r="H343" s="7">
        <f t="shared" si="170"/>
        <v>0</v>
      </c>
      <c r="I343" s="7">
        <f t="shared" si="171"/>
        <v>0</v>
      </c>
      <c r="J343" s="7">
        <f t="shared" si="173"/>
        <v>0</v>
      </c>
      <c r="K343" s="7">
        <f t="shared" si="172"/>
        <v>0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 t="str">
        <f t="shared" si="168"/>
        <v>diana</v>
      </c>
      <c r="B344" s="3"/>
      <c r="C344" s="3"/>
      <c r="D344" s="3"/>
      <c r="E344" s="3"/>
      <c r="F344" s="3"/>
      <c r="G344" s="7">
        <f t="shared" ref="G344:G348" si="174">D344-E344</f>
        <v>0</v>
      </c>
      <c r="H344" s="7">
        <f t="shared" si="170"/>
        <v>0</v>
      </c>
      <c r="I344" s="7">
        <f t="shared" si="171"/>
        <v>0</v>
      </c>
      <c r="J344" s="7">
        <f t="shared" si="173"/>
        <v>0</v>
      </c>
      <c r="K344" s="7">
        <f t="shared" si="172"/>
        <v>0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 t="str">
        <f t="shared" si="168"/>
        <v>Andrea</v>
      </c>
      <c r="B345" s="3"/>
      <c r="C345" s="3"/>
      <c r="D345" s="3"/>
      <c r="E345" s="3"/>
      <c r="F345" s="3"/>
      <c r="G345" s="7">
        <f t="shared" si="174"/>
        <v>0</v>
      </c>
      <c r="H345" s="7">
        <f t="shared" si="170"/>
        <v>0</v>
      </c>
      <c r="I345" s="7">
        <f t="shared" si="171"/>
        <v>0</v>
      </c>
      <c r="J345" s="7">
        <f t="shared" si="173"/>
        <v>0</v>
      </c>
      <c r="K345" s="7">
        <f t="shared" si="172"/>
        <v>0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 t="str">
        <f t="shared" si="168"/>
        <v>Erick</v>
      </c>
      <c r="B346" s="7"/>
      <c r="C346" s="3"/>
      <c r="D346" s="7"/>
      <c r="E346" s="7"/>
      <c r="F346" s="7"/>
      <c r="G346" s="7">
        <f t="shared" si="174"/>
        <v>0</v>
      </c>
      <c r="H346" s="7">
        <f t="shared" si="170"/>
        <v>0</v>
      </c>
      <c r="I346" s="7">
        <f t="shared" si="171"/>
        <v>0</v>
      </c>
      <c r="J346" s="7">
        <f t="shared" si="173"/>
        <v>0</v>
      </c>
      <c r="K346" s="7">
        <f t="shared" si="172"/>
        <v>0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tr">
        <f t="shared" si="168"/>
        <v>Carlos</v>
      </c>
      <c r="B347" s="3"/>
      <c r="C347" s="3"/>
      <c r="D347" s="3"/>
      <c r="E347" s="3"/>
      <c r="F347" s="3"/>
      <c r="G347" s="7">
        <f t="shared" si="174"/>
        <v>0</v>
      </c>
      <c r="H347" s="7">
        <f t="shared" si="170"/>
        <v>0</v>
      </c>
      <c r="I347" s="7">
        <f t="shared" si="171"/>
        <v>0</v>
      </c>
      <c r="J347" s="7">
        <f t="shared" si="173"/>
        <v>0</v>
      </c>
      <c r="K347" s="7">
        <f t="shared" si="172"/>
        <v>0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tr">
        <f t="shared" si="168"/>
        <v>Tathy</v>
      </c>
      <c r="B348" s="3"/>
      <c r="C348" s="3"/>
      <c r="D348" s="3"/>
      <c r="E348" s="3"/>
      <c r="F348" s="3"/>
      <c r="G348" s="7">
        <f t="shared" si="174"/>
        <v>0</v>
      </c>
      <c r="H348" s="7">
        <f t="shared" si="170"/>
        <v>0</v>
      </c>
      <c r="I348" s="7">
        <f t="shared" si="171"/>
        <v>0</v>
      </c>
      <c r="J348" s="7"/>
      <c r="K348" s="7">
        <f t="shared" si="172"/>
        <v>0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7">
        <f>SUM(B340:B348)</f>
        <v>0</v>
      </c>
      <c r="C349" s="3"/>
      <c r="D349" s="7">
        <f t="shared" ref="D349:E349" si="175">SUM(D341:D348)</f>
        <v>0</v>
      </c>
      <c r="E349" s="7">
        <f t="shared" si="175"/>
        <v>0</v>
      </c>
      <c r="F349" s="7">
        <f t="shared" ref="F349:K349" si="176">SUM(F340:F348)</f>
        <v>0</v>
      </c>
      <c r="G349" s="7">
        <f t="shared" si="176"/>
        <v>0</v>
      </c>
      <c r="H349" s="7">
        <f t="shared" si="176"/>
        <v>0</v>
      </c>
      <c r="I349" s="7">
        <f t="shared" si="176"/>
        <v>0</v>
      </c>
      <c r="J349" s="7">
        <f t="shared" si="176"/>
        <v>0</v>
      </c>
      <c r="K349" s="7">
        <f t="shared" si="176"/>
        <v>0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2">
      <c r="A352" s="3" t="s">
        <v>0</v>
      </c>
      <c r="B352" s="12">
        <f>B338+1</f>
        <v>46017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 t="s">
        <v>1</v>
      </c>
      <c r="C353" s="3" t="s">
        <v>2</v>
      </c>
      <c r="D353" s="3" t="s">
        <v>3</v>
      </c>
      <c r="E353" s="3" t="s">
        <v>4</v>
      </c>
      <c r="F353" s="3" t="s">
        <v>5</v>
      </c>
      <c r="G353" s="3" t="s">
        <v>6</v>
      </c>
      <c r="H353" s="3" t="s">
        <v>7</v>
      </c>
      <c r="I353" s="3" t="s">
        <v>8</v>
      </c>
      <c r="J353" s="3" t="s">
        <v>9</v>
      </c>
      <c r="K353" s="3" t="s">
        <v>10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tr">
        <f t="shared" ref="A354:A362" si="177">A340</f>
        <v>Ricardo </v>
      </c>
      <c r="B354" s="5"/>
      <c r="C354" s="4"/>
      <c r="D354" s="4"/>
      <c r="E354" s="4"/>
      <c r="F354" s="3"/>
      <c r="G354" s="7">
        <f t="shared" ref="G354:G362" si="178">D354-E354</f>
        <v>0</v>
      </c>
      <c r="H354" s="7">
        <f t="shared" ref="H354:H362" si="179">G354+F354</f>
        <v>0</v>
      </c>
      <c r="I354" s="7">
        <f t="shared" ref="I354:I362" si="180">C354*500</f>
        <v>0</v>
      </c>
      <c r="J354" s="7">
        <f t="shared" ref="J354:J362" si="181">I354+E354+B354</f>
        <v>0</v>
      </c>
      <c r="K354" s="7">
        <f t="shared" ref="K354:K362" si="182">I354+B354</f>
        <v>0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tr">
        <f t="shared" si="177"/>
        <v>rosa</v>
      </c>
      <c r="B355" s="7">
        <v>393.0</v>
      </c>
      <c r="C355" s="7">
        <v>2.0</v>
      </c>
      <c r="D355" s="7">
        <v>1589.46</v>
      </c>
      <c r="E355" s="7">
        <v>1589.46</v>
      </c>
      <c r="F355" s="8">
        <v>0.19</v>
      </c>
      <c r="G355" s="7">
        <f t="shared" si="178"/>
        <v>0</v>
      </c>
      <c r="H355" s="7">
        <f t="shared" si="179"/>
        <v>0.19</v>
      </c>
      <c r="I355" s="7">
        <f t="shared" si="180"/>
        <v>1000</v>
      </c>
      <c r="J355" s="7">
        <f t="shared" si="181"/>
        <v>2982.46</v>
      </c>
      <c r="K355" s="7">
        <f t="shared" si="182"/>
        <v>1393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tr">
        <f t="shared" si="177"/>
        <v>Gloria </v>
      </c>
      <c r="B356" s="7">
        <v>172.85</v>
      </c>
      <c r="C356" s="7">
        <v>0.0</v>
      </c>
      <c r="D356" s="7">
        <v>196.95</v>
      </c>
      <c r="E356" s="7">
        <v>196.95</v>
      </c>
      <c r="F356" s="7">
        <v>-0.04</v>
      </c>
      <c r="G356" s="7">
        <f t="shared" si="178"/>
        <v>0</v>
      </c>
      <c r="H356" s="7">
        <f t="shared" si="179"/>
        <v>-0.04</v>
      </c>
      <c r="I356" s="7">
        <f t="shared" si="180"/>
        <v>0</v>
      </c>
      <c r="J356" s="7">
        <f t="shared" si="181"/>
        <v>369.8</v>
      </c>
      <c r="K356" s="7">
        <f t="shared" si="182"/>
        <v>172.85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 t="str">
        <f t="shared" si="177"/>
        <v>Adriana</v>
      </c>
      <c r="B357" s="3"/>
      <c r="C357" s="3"/>
      <c r="D357" s="3"/>
      <c r="E357" s="3"/>
      <c r="F357" s="3"/>
      <c r="G357" s="7">
        <f t="shared" si="178"/>
        <v>0</v>
      </c>
      <c r="H357" s="7">
        <f t="shared" si="179"/>
        <v>0</v>
      </c>
      <c r="I357" s="7">
        <f t="shared" si="180"/>
        <v>0</v>
      </c>
      <c r="J357" s="7">
        <f t="shared" si="181"/>
        <v>0</v>
      </c>
      <c r="K357" s="7">
        <f t="shared" si="182"/>
        <v>0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 t="str">
        <f t="shared" si="177"/>
        <v>diana</v>
      </c>
      <c r="B358" s="3"/>
      <c r="C358" s="3"/>
      <c r="D358" s="3"/>
      <c r="E358" s="3"/>
      <c r="F358" s="3"/>
      <c r="G358" s="7">
        <f t="shared" si="178"/>
        <v>0</v>
      </c>
      <c r="H358" s="7">
        <f t="shared" si="179"/>
        <v>0</v>
      </c>
      <c r="I358" s="7">
        <f t="shared" si="180"/>
        <v>0</v>
      </c>
      <c r="J358" s="7">
        <f t="shared" si="181"/>
        <v>0</v>
      </c>
      <c r="K358" s="7">
        <f t="shared" si="182"/>
        <v>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 t="str">
        <f t="shared" si="177"/>
        <v>Andrea</v>
      </c>
      <c r="B359" s="7">
        <v>285.16</v>
      </c>
      <c r="C359" s="7">
        <v>2.0</v>
      </c>
      <c r="D359" s="7">
        <v>1024.19</v>
      </c>
      <c r="E359" s="7">
        <v>1024.19</v>
      </c>
      <c r="F359" s="7">
        <v>0.36</v>
      </c>
      <c r="G359" s="7">
        <f t="shared" si="178"/>
        <v>0</v>
      </c>
      <c r="H359" s="7">
        <f t="shared" si="179"/>
        <v>0.36</v>
      </c>
      <c r="I359" s="7">
        <f t="shared" si="180"/>
        <v>1000</v>
      </c>
      <c r="J359" s="7">
        <f t="shared" si="181"/>
        <v>2309.35</v>
      </c>
      <c r="K359" s="7">
        <f t="shared" si="182"/>
        <v>1285.16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 t="str">
        <f t="shared" si="177"/>
        <v>Erick</v>
      </c>
      <c r="B360" s="3"/>
      <c r="C360" s="3"/>
      <c r="D360" s="3"/>
      <c r="E360" s="3"/>
      <c r="F360" s="3"/>
      <c r="G360" s="7">
        <f t="shared" si="178"/>
        <v>0</v>
      </c>
      <c r="H360" s="7">
        <f t="shared" si="179"/>
        <v>0</v>
      </c>
      <c r="I360" s="7">
        <f t="shared" si="180"/>
        <v>0</v>
      </c>
      <c r="J360" s="7">
        <f t="shared" si="181"/>
        <v>0</v>
      </c>
      <c r="K360" s="7">
        <f t="shared" si="182"/>
        <v>0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tr">
        <f t="shared" si="177"/>
        <v>Carlos</v>
      </c>
      <c r="B361" s="3"/>
      <c r="C361" s="3"/>
      <c r="D361" s="3"/>
      <c r="E361" s="3"/>
      <c r="F361" s="3"/>
      <c r="G361" s="7">
        <f t="shared" si="178"/>
        <v>0</v>
      </c>
      <c r="H361" s="7">
        <f t="shared" si="179"/>
        <v>0</v>
      </c>
      <c r="I361" s="7">
        <f t="shared" si="180"/>
        <v>0</v>
      </c>
      <c r="J361" s="7">
        <f t="shared" si="181"/>
        <v>0</v>
      </c>
      <c r="K361" s="7">
        <f t="shared" si="182"/>
        <v>0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tr">
        <f t="shared" si="177"/>
        <v>Tathy</v>
      </c>
      <c r="B362" s="7">
        <v>47.3</v>
      </c>
      <c r="C362" s="7">
        <v>0.0</v>
      </c>
      <c r="D362" s="7">
        <v>117.39</v>
      </c>
      <c r="E362" s="7">
        <v>117.39</v>
      </c>
      <c r="F362" s="7">
        <v>0.03</v>
      </c>
      <c r="G362" s="7">
        <f t="shared" si="178"/>
        <v>0</v>
      </c>
      <c r="H362" s="7">
        <f t="shared" si="179"/>
        <v>0.03</v>
      </c>
      <c r="I362" s="7">
        <f t="shared" si="180"/>
        <v>0</v>
      </c>
      <c r="J362" s="7">
        <f t="shared" si="181"/>
        <v>164.69</v>
      </c>
      <c r="K362" s="7">
        <f t="shared" si="182"/>
        <v>47.3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7">
        <f>SUM(B354:B362)</f>
        <v>898.31</v>
      </c>
      <c r="C363" s="3"/>
      <c r="D363" s="7">
        <f t="shared" ref="D363:K363" si="183">SUM(D354:D362)</f>
        <v>2927.99</v>
      </c>
      <c r="E363" s="7">
        <f t="shared" si="183"/>
        <v>2927.99</v>
      </c>
      <c r="F363" s="7">
        <f t="shared" si="183"/>
        <v>0.54</v>
      </c>
      <c r="G363" s="7">
        <f t="shared" si="183"/>
        <v>0</v>
      </c>
      <c r="H363" s="7">
        <f t="shared" si="183"/>
        <v>0.54</v>
      </c>
      <c r="I363" s="7">
        <f t="shared" si="183"/>
        <v>2000</v>
      </c>
      <c r="J363" s="7">
        <f t="shared" si="183"/>
        <v>5826.3</v>
      </c>
      <c r="K363" s="7">
        <f t="shared" si="183"/>
        <v>2898.31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6">
      <c r="A366" s="3" t="s">
        <v>0</v>
      </c>
      <c r="B366" s="12">
        <f>B352+1</f>
        <v>46018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 t="s">
        <v>1</v>
      </c>
      <c r="C367" s="3" t="s">
        <v>2</v>
      </c>
      <c r="D367" s="3" t="s">
        <v>3</v>
      </c>
      <c r="E367" s="3" t="s">
        <v>4</v>
      </c>
      <c r="F367" s="3" t="s">
        <v>5</v>
      </c>
      <c r="G367" s="3" t="s">
        <v>6</v>
      </c>
      <c r="H367" s="3" t="s">
        <v>7</v>
      </c>
      <c r="I367" s="3" t="s">
        <v>8</v>
      </c>
      <c r="J367" s="3" t="s">
        <v>9</v>
      </c>
      <c r="K367" s="3" t="s">
        <v>10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tr">
        <f t="shared" ref="A368:A376" si="184">A354</f>
        <v>Ricardo </v>
      </c>
      <c r="B368" s="5"/>
      <c r="C368" s="4"/>
      <c r="D368" s="4"/>
      <c r="E368" s="4"/>
      <c r="F368" s="3"/>
      <c r="G368" s="7">
        <f t="shared" ref="G368:G376" si="185">D368-E368</f>
        <v>0</v>
      </c>
      <c r="H368" s="7">
        <f t="shared" ref="H368:H376" si="186">G368+F368</f>
        <v>0</v>
      </c>
      <c r="I368" s="7">
        <f t="shared" ref="I368:I376" si="187">C368*500</f>
        <v>0</v>
      </c>
      <c r="J368" s="7">
        <f t="shared" ref="J368:J376" si="188">I368+E368+B368</f>
        <v>0</v>
      </c>
      <c r="K368" s="7">
        <f t="shared" ref="K368:K376" si="189">I368+B368</f>
        <v>0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tr">
        <f t="shared" si="184"/>
        <v>rosa</v>
      </c>
      <c r="B369" s="7">
        <v>60.0</v>
      </c>
      <c r="C369" s="7">
        <v>0.0</v>
      </c>
      <c r="D369" s="7">
        <v>68.63</v>
      </c>
      <c r="E369" s="7">
        <v>68.63</v>
      </c>
      <c r="F369" s="8">
        <v>0.07</v>
      </c>
      <c r="G369" s="7">
        <f t="shared" si="185"/>
        <v>0</v>
      </c>
      <c r="H369" s="7">
        <f t="shared" si="186"/>
        <v>0.07</v>
      </c>
      <c r="I369" s="7">
        <f t="shared" si="187"/>
        <v>0</v>
      </c>
      <c r="J369" s="7">
        <f t="shared" si="188"/>
        <v>128.63</v>
      </c>
      <c r="K369" s="7">
        <f t="shared" si="189"/>
        <v>60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tr">
        <f t="shared" si="184"/>
        <v>Gloria </v>
      </c>
      <c r="B370" s="7">
        <v>418.0</v>
      </c>
      <c r="C370" s="7">
        <v>2.0</v>
      </c>
      <c r="D370" s="7">
        <v>1338.1</v>
      </c>
      <c r="E370" s="7">
        <v>1338.1</v>
      </c>
      <c r="F370" s="7">
        <v>0.51</v>
      </c>
      <c r="G370" s="7">
        <f t="shared" si="185"/>
        <v>0</v>
      </c>
      <c r="H370" s="7">
        <f t="shared" si="186"/>
        <v>0.51</v>
      </c>
      <c r="I370" s="7">
        <f t="shared" si="187"/>
        <v>1000</v>
      </c>
      <c r="J370" s="7">
        <f t="shared" si="188"/>
        <v>2756.1</v>
      </c>
      <c r="K370" s="7">
        <f t="shared" si="189"/>
        <v>1418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 t="str">
        <f t="shared" si="184"/>
        <v>Adriana</v>
      </c>
      <c r="B371" s="3"/>
      <c r="C371" s="3"/>
      <c r="D371" s="3"/>
      <c r="E371" s="3"/>
      <c r="F371" s="3"/>
      <c r="G371" s="7">
        <f t="shared" si="185"/>
        <v>0</v>
      </c>
      <c r="H371" s="7">
        <f t="shared" si="186"/>
        <v>0</v>
      </c>
      <c r="I371" s="7">
        <f t="shared" si="187"/>
        <v>0</v>
      </c>
      <c r="J371" s="7">
        <f t="shared" si="188"/>
        <v>0</v>
      </c>
      <c r="K371" s="7">
        <f t="shared" si="189"/>
        <v>0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 t="str">
        <f t="shared" si="184"/>
        <v>diana</v>
      </c>
      <c r="B372" s="3"/>
      <c r="C372" s="3"/>
      <c r="D372" s="3"/>
      <c r="E372" s="3"/>
      <c r="F372" s="3"/>
      <c r="G372" s="7">
        <f t="shared" si="185"/>
        <v>0</v>
      </c>
      <c r="H372" s="7">
        <f t="shared" si="186"/>
        <v>0</v>
      </c>
      <c r="I372" s="7">
        <f t="shared" si="187"/>
        <v>0</v>
      </c>
      <c r="J372" s="7">
        <f t="shared" si="188"/>
        <v>0</v>
      </c>
      <c r="K372" s="7">
        <f t="shared" si="189"/>
        <v>0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 t="str">
        <f t="shared" si="184"/>
        <v>Andrea</v>
      </c>
      <c r="B373" s="7">
        <v>421.66</v>
      </c>
      <c r="C373" s="7">
        <v>2.0</v>
      </c>
      <c r="D373" s="7">
        <v>1361.35</v>
      </c>
      <c r="E373" s="7">
        <v>1361.35</v>
      </c>
      <c r="F373" s="7">
        <v>0.57</v>
      </c>
      <c r="G373" s="7">
        <f t="shared" si="185"/>
        <v>0</v>
      </c>
      <c r="H373" s="7">
        <f t="shared" si="186"/>
        <v>0.57</v>
      </c>
      <c r="I373" s="7">
        <f t="shared" si="187"/>
        <v>1000</v>
      </c>
      <c r="J373" s="7">
        <f t="shared" si="188"/>
        <v>2783.01</v>
      </c>
      <c r="K373" s="7">
        <f t="shared" si="189"/>
        <v>1421.66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 t="str">
        <f t="shared" si="184"/>
        <v>Erick</v>
      </c>
      <c r="B374" s="3"/>
      <c r="C374" s="3"/>
      <c r="D374" s="3"/>
      <c r="E374" s="3"/>
      <c r="F374" s="3"/>
      <c r="G374" s="7">
        <f t="shared" si="185"/>
        <v>0</v>
      </c>
      <c r="H374" s="7">
        <f t="shared" si="186"/>
        <v>0</v>
      </c>
      <c r="I374" s="7">
        <f t="shared" si="187"/>
        <v>0</v>
      </c>
      <c r="J374" s="7">
        <f t="shared" si="188"/>
        <v>0</v>
      </c>
      <c r="K374" s="7">
        <f t="shared" si="189"/>
        <v>0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tr">
        <f t="shared" si="184"/>
        <v>Carlos</v>
      </c>
      <c r="B375" s="3"/>
      <c r="C375" s="3"/>
      <c r="D375" s="3"/>
      <c r="E375" s="3"/>
      <c r="F375" s="3"/>
      <c r="G375" s="7">
        <f t="shared" si="185"/>
        <v>0</v>
      </c>
      <c r="H375" s="7">
        <f t="shared" si="186"/>
        <v>0</v>
      </c>
      <c r="I375" s="7">
        <f t="shared" si="187"/>
        <v>0</v>
      </c>
      <c r="J375" s="7">
        <f t="shared" si="188"/>
        <v>0</v>
      </c>
      <c r="K375" s="7">
        <f t="shared" si="189"/>
        <v>0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tr">
        <f t="shared" si="184"/>
        <v>Tathy</v>
      </c>
      <c r="B376" s="3"/>
      <c r="C376" s="3"/>
      <c r="D376" s="3"/>
      <c r="E376" s="3"/>
      <c r="F376" s="3"/>
      <c r="G376" s="7">
        <f t="shared" si="185"/>
        <v>0</v>
      </c>
      <c r="H376" s="7">
        <f t="shared" si="186"/>
        <v>0</v>
      </c>
      <c r="I376" s="7">
        <f t="shared" si="187"/>
        <v>0</v>
      </c>
      <c r="J376" s="7">
        <f t="shared" si="188"/>
        <v>0</v>
      </c>
      <c r="K376" s="7">
        <f t="shared" si="189"/>
        <v>0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7">
        <f>SUM(B368:B376)</f>
        <v>899.66</v>
      </c>
      <c r="C377" s="3"/>
      <c r="D377" s="7">
        <f t="shared" ref="D377:K377" si="190">SUM(D368:D376)</f>
        <v>2768.08</v>
      </c>
      <c r="E377" s="7">
        <f t="shared" si="190"/>
        <v>2768.08</v>
      </c>
      <c r="F377" s="7">
        <f t="shared" si="190"/>
        <v>1.15</v>
      </c>
      <c r="G377" s="7">
        <f t="shared" si="190"/>
        <v>0</v>
      </c>
      <c r="H377" s="7">
        <f t="shared" si="190"/>
        <v>1.15</v>
      </c>
      <c r="I377" s="7">
        <f t="shared" si="190"/>
        <v>2000</v>
      </c>
      <c r="J377" s="7">
        <f t="shared" si="190"/>
        <v>5667.74</v>
      </c>
      <c r="K377" s="7">
        <f t="shared" si="190"/>
        <v>2899.66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80">
      <c r="A380" s="3" t="s">
        <v>0</v>
      </c>
      <c r="B380" s="12">
        <f>B366+1</f>
        <v>46019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 t="s">
        <v>1</v>
      </c>
      <c r="C381" s="3" t="s">
        <v>2</v>
      </c>
      <c r="D381" s="3" t="s">
        <v>3</v>
      </c>
      <c r="E381" s="3" t="s">
        <v>4</v>
      </c>
      <c r="F381" s="3" t="s">
        <v>5</v>
      </c>
      <c r="G381" s="3" t="s">
        <v>6</v>
      </c>
      <c r="H381" s="3" t="s">
        <v>7</v>
      </c>
      <c r="I381" s="3" t="s">
        <v>8</v>
      </c>
      <c r="J381" s="3" t="s">
        <v>9</v>
      </c>
      <c r="K381" s="3" t="s">
        <v>10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tr">
        <f t="shared" ref="A382:A390" si="191">A368</f>
        <v>Ricardo </v>
      </c>
      <c r="B382" s="5"/>
      <c r="C382" s="4"/>
      <c r="D382" s="4"/>
      <c r="E382" s="4"/>
      <c r="F382" s="3"/>
      <c r="G382" s="7">
        <f t="shared" ref="G382:G390" si="192">D382-E382</f>
        <v>0</v>
      </c>
      <c r="H382" s="7">
        <f t="shared" ref="H382:H390" si="193">G382+F382</f>
        <v>0</v>
      </c>
      <c r="I382" s="7">
        <f t="shared" ref="I382:I390" si="194">C382*500</f>
        <v>0</v>
      </c>
      <c r="J382" s="7">
        <f t="shared" ref="J382:J390" si="195">I382+E382+B382</f>
        <v>0</v>
      </c>
      <c r="K382" s="7">
        <f t="shared" ref="K382:K390" si="196">I382+B382</f>
        <v>0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tr">
        <f t="shared" si="191"/>
        <v>rosa</v>
      </c>
      <c r="B383" s="3"/>
      <c r="C383" s="3"/>
      <c r="D383" s="3"/>
      <c r="E383" s="3"/>
      <c r="F383" s="3"/>
      <c r="G383" s="7">
        <f t="shared" si="192"/>
        <v>0</v>
      </c>
      <c r="H383" s="7">
        <f t="shared" si="193"/>
        <v>0</v>
      </c>
      <c r="I383" s="7">
        <f t="shared" si="194"/>
        <v>0</v>
      </c>
      <c r="J383" s="7">
        <f t="shared" si="195"/>
        <v>0</v>
      </c>
      <c r="K383" s="7">
        <f t="shared" si="196"/>
        <v>0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tr">
        <f t="shared" si="191"/>
        <v>Gloria </v>
      </c>
      <c r="B384" s="3"/>
      <c r="C384" s="3"/>
      <c r="D384" s="3"/>
      <c r="E384" s="3"/>
      <c r="F384" s="3"/>
      <c r="G384" s="7">
        <f t="shared" si="192"/>
        <v>0</v>
      </c>
      <c r="H384" s="7">
        <f t="shared" si="193"/>
        <v>0</v>
      </c>
      <c r="I384" s="7">
        <f t="shared" si="194"/>
        <v>0</v>
      </c>
      <c r="J384" s="7">
        <f t="shared" si="195"/>
        <v>0</v>
      </c>
      <c r="K384" s="7">
        <f t="shared" si="196"/>
        <v>0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 t="str">
        <f t="shared" si="191"/>
        <v>Adriana</v>
      </c>
      <c r="B385" s="3"/>
      <c r="C385" s="3"/>
      <c r="D385" s="3"/>
      <c r="E385" s="3"/>
      <c r="F385" s="3"/>
      <c r="G385" s="7">
        <f t="shared" si="192"/>
        <v>0</v>
      </c>
      <c r="H385" s="7">
        <f t="shared" si="193"/>
        <v>0</v>
      </c>
      <c r="I385" s="7">
        <f t="shared" si="194"/>
        <v>0</v>
      </c>
      <c r="J385" s="7">
        <f t="shared" si="195"/>
        <v>0</v>
      </c>
      <c r="K385" s="7">
        <f t="shared" si="196"/>
        <v>0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 t="str">
        <f t="shared" si="191"/>
        <v>diana</v>
      </c>
      <c r="B386" s="3"/>
      <c r="C386" s="3"/>
      <c r="D386" s="3"/>
      <c r="E386" s="3"/>
      <c r="F386" s="3"/>
      <c r="G386" s="7">
        <f t="shared" si="192"/>
        <v>0</v>
      </c>
      <c r="H386" s="7">
        <f t="shared" si="193"/>
        <v>0</v>
      </c>
      <c r="I386" s="7">
        <f t="shared" si="194"/>
        <v>0</v>
      </c>
      <c r="J386" s="7">
        <f t="shared" si="195"/>
        <v>0</v>
      </c>
      <c r="K386" s="7">
        <f t="shared" si="196"/>
        <v>0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 t="str">
        <f t="shared" si="191"/>
        <v>Andrea</v>
      </c>
      <c r="B387" s="3"/>
      <c r="C387" s="3"/>
      <c r="D387" s="3"/>
      <c r="E387" s="3"/>
      <c r="F387" s="3"/>
      <c r="G387" s="7">
        <f t="shared" si="192"/>
        <v>0</v>
      </c>
      <c r="H387" s="7">
        <f t="shared" si="193"/>
        <v>0</v>
      </c>
      <c r="I387" s="7">
        <f t="shared" si="194"/>
        <v>0</v>
      </c>
      <c r="J387" s="7">
        <f t="shared" si="195"/>
        <v>0</v>
      </c>
      <c r="K387" s="7">
        <f t="shared" si="196"/>
        <v>0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 t="str">
        <f t="shared" si="191"/>
        <v>Erick</v>
      </c>
      <c r="B388" s="13">
        <v>293.5</v>
      </c>
      <c r="C388" s="7">
        <v>1.0</v>
      </c>
      <c r="D388" s="7">
        <v>803.58</v>
      </c>
      <c r="E388" s="7">
        <v>803.58</v>
      </c>
      <c r="F388" s="7">
        <v>-0.33</v>
      </c>
      <c r="G388" s="7">
        <f t="shared" si="192"/>
        <v>0</v>
      </c>
      <c r="H388" s="7">
        <f t="shared" si="193"/>
        <v>-0.33</v>
      </c>
      <c r="I388" s="7">
        <f t="shared" si="194"/>
        <v>500</v>
      </c>
      <c r="J388" s="7">
        <f t="shared" si="195"/>
        <v>1597.08</v>
      </c>
      <c r="K388" s="7">
        <f t="shared" si="196"/>
        <v>793.5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tr">
        <f t="shared" si="191"/>
        <v>Carlos</v>
      </c>
      <c r="B389" s="7">
        <v>203.5</v>
      </c>
      <c r="C389" s="7">
        <v>3.0</v>
      </c>
      <c r="D389" s="7">
        <v>1903.56</v>
      </c>
      <c r="E389" s="7">
        <v>1903.56</v>
      </c>
      <c r="F389" s="7">
        <v>0.95</v>
      </c>
      <c r="G389" s="7">
        <f t="shared" si="192"/>
        <v>0</v>
      </c>
      <c r="H389" s="7">
        <f t="shared" si="193"/>
        <v>0.95</v>
      </c>
      <c r="I389" s="7">
        <f t="shared" si="194"/>
        <v>1500</v>
      </c>
      <c r="J389" s="7">
        <f t="shared" si="195"/>
        <v>3607.06</v>
      </c>
      <c r="K389" s="7">
        <f t="shared" si="196"/>
        <v>1703.5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tr">
        <f t="shared" si="191"/>
        <v>Tathy</v>
      </c>
      <c r="B390" s="7">
        <v>168.0</v>
      </c>
      <c r="C390" s="7">
        <v>1.0</v>
      </c>
      <c r="D390" s="7">
        <v>1012.34</v>
      </c>
      <c r="E390" s="7">
        <v>1012.34</v>
      </c>
      <c r="F390" s="7">
        <v>1.86</v>
      </c>
      <c r="G390" s="7">
        <f t="shared" si="192"/>
        <v>0</v>
      </c>
      <c r="H390" s="7">
        <f t="shared" si="193"/>
        <v>1.86</v>
      </c>
      <c r="I390" s="7">
        <f t="shared" si="194"/>
        <v>500</v>
      </c>
      <c r="J390" s="7">
        <f t="shared" si="195"/>
        <v>1680.34</v>
      </c>
      <c r="K390" s="7">
        <f t="shared" si="196"/>
        <v>668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">
        <f>SUM(B382:B390)</f>
        <v>665</v>
      </c>
      <c r="C391" s="3"/>
      <c r="D391" s="7">
        <f t="shared" ref="D391:K391" si="197">SUM(D382:D390)</f>
        <v>3719.48</v>
      </c>
      <c r="E391" s="7">
        <f t="shared" si="197"/>
        <v>3719.48</v>
      </c>
      <c r="F391" s="7">
        <f t="shared" si="197"/>
        <v>2.48</v>
      </c>
      <c r="G391" s="7">
        <f t="shared" si="197"/>
        <v>0</v>
      </c>
      <c r="H391" s="7">
        <f t="shared" si="197"/>
        <v>2.48</v>
      </c>
      <c r="I391" s="7">
        <f t="shared" si="197"/>
        <v>2500</v>
      </c>
      <c r="J391" s="7">
        <f t="shared" si="197"/>
        <v>6884.48</v>
      </c>
      <c r="K391" s="7">
        <f t="shared" si="197"/>
        <v>3165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4">
      <c r="A394" s="3" t="s">
        <v>0</v>
      </c>
      <c r="B394" s="12">
        <f>B380+1</f>
        <v>46020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 t="s">
        <v>1</v>
      </c>
      <c r="C395" s="3" t="s">
        <v>2</v>
      </c>
      <c r="D395" s="3" t="s">
        <v>3</v>
      </c>
      <c r="E395" s="3" t="s">
        <v>4</v>
      </c>
      <c r="F395" s="3" t="s">
        <v>5</v>
      </c>
      <c r="G395" s="3" t="s">
        <v>6</v>
      </c>
      <c r="H395" s="3" t="s">
        <v>7</v>
      </c>
      <c r="I395" s="3" t="s">
        <v>8</v>
      </c>
      <c r="J395" s="3" t="s">
        <v>9</v>
      </c>
      <c r="K395" s="3" t="s">
        <v>10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tr">
        <f t="shared" ref="A396:A404" si="198">A382</f>
        <v>Ricardo </v>
      </c>
      <c r="B396" s="10"/>
      <c r="C396" s="3"/>
      <c r="D396" s="3"/>
      <c r="E396" s="3"/>
      <c r="F396" s="3"/>
      <c r="G396" s="7">
        <f t="shared" ref="G396:G404" si="199">D396-E396</f>
        <v>0</v>
      </c>
      <c r="H396" s="7">
        <f t="shared" ref="H396:H404" si="200">G396+F396</f>
        <v>0</v>
      </c>
      <c r="I396" s="7">
        <f t="shared" ref="I396:I404" si="201">C396*500</f>
        <v>0</v>
      </c>
      <c r="J396" s="7">
        <f t="shared" ref="J396:J404" si="202">I396+E396+B396</f>
        <v>0</v>
      </c>
      <c r="K396" s="7">
        <f t="shared" ref="K396:K404" si="203">I396+B396</f>
        <v>0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tr">
        <f t="shared" si="198"/>
        <v>rosa</v>
      </c>
      <c r="B397" s="7">
        <v>165.6</v>
      </c>
      <c r="C397" s="7">
        <v>3.0</v>
      </c>
      <c r="D397" s="7">
        <v>1842.81</v>
      </c>
      <c r="E397" s="7">
        <v>1842.81</v>
      </c>
      <c r="F397" s="16">
        <v>0.82</v>
      </c>
      <c r="G397" s="7">
        <f t="shared" si="199"/>
        <v>0</v>
      </c>
      <c r="H397" s="7">
        <f t="shared" si="200"/>
        <v>0.82</v>
      </c>
      <c r="I397" s="7">
        <f t="shared" si="201"/>
        <v>1500</v>
      </c>
      <c r="J397" s="7">
        <f t="shared" si="202"/>
        <v>3508.41</v>
      </c>
      <c r="K397" s="7">
        <f t="shared" si="203"/>
        <v>1665.6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tr">
        <f t="shared" si="198"/>
        <v>Gloria </v>
      </c>
      <c r="B398" s="3"/>
      <c r="C398" s="3"/>
      <c r="D398" s="3"/>
      <c r="E398" s="3"/>
      <c r="F398" s="3"/>
      <c r="G398" s="7">
        <f t="shared" si="199"/>
        <v>0</v>
      </c>
      <c r="H398" s="7">
        <f t="shared" si="200"/>
        <v>0</v>
      </c>
      <c r="I398" s="7">
        <f t="shared" si="201"/>
        <v>0</v>
      </c>
      <c r="J398" s="7">
        <f t="shared" si="202"/>
        <v>0</v>
      </c>
      <c r="K398" s="7">
        <f t="shared" si="203"/>
        <v>0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 t="str">
        <f t="shared" si="198"/>
        <v>Adriana</v>
      </c>
      <c r="B399" s="3"/>
      <c r="C399" s="3"/>
      <c r="D399" s="3"/>
      <c r="E399" s="3"/>
      <c r="F399" s="3"/>
      <c r="G399" s="7">
        <f t="shared" si="199"/>
        <v>0</v>
      </c>
      <c r="H399" s="7">
        <f t="shared" si="200"/>
        <v>0</v>
      </c>
      <c r="I399" s="7">
        <f t="shared" si="201"/>
        <v>0</v>
      </c>
      <c r="J399" s="7">
        <f t="shared" si="202"/>
        <v>0</v>
      </c>
      <c r="K399" s="7">
        <f t="shared" si="203"/>
        <v>0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 t="str">
        <f t="shared" si="198"/>
        <v>diana</v>
      </c>
      <c r="B400" s="3"/>
      <c r="C400" s="3"/>
      <c r="D400" s="3"/>
      <c r="E400" s="3"/>
      <c r="F400" s="3"/>
      <c r="G400" s="7">
        <f t="shared" si="199"/>
        <v>0</v>
      </c>
      <c r="H400" s="7">
        <f t="shared" si="200"/>
        <v>0</v>
      </c>
      <c r="I400" s="7">
        <f t="shared" si="201"/>
        <v>0</v>
      </c>
      <c r="J400" s="7">
        <f t="shared" si="202"/>
        <v>0</v>
      </c>
      <c r="K400" s="7">
        <f t="shared" si="203"/>
        <v>0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 t="str">
        <f t="shared" si="198"/>
        <v>Andrea</v>
      </c>
      <c r="B401" s="7">
        <v>34.65</v>
      </c>
      <c r="C401" s="7">
        <v>2.0</v>
      </c>
      <c r="D401" s="7">
        <v>876.26</v>
      </c>
      <c r="E401" s="7">
        <v>876.26</v>
      </c>
      <c r="F401" s="7">
        <v>0.58</v>
      </c>
      <c r="G401" s="7">
        <f t="shared" si="199"/>
        <v>0</v>
      </c>
      <c r="H401" s="7">
        <f t="shared" si="200"/>
        <v>0.58</v>
      </c>
      <c r="I401" s="7">
        <f t="shared" si="201"/>
        <v>1000</v>
      </c>
      <c r="J401" s="7">
        <f t="shared" si="202"/>
        <v>1910.91</v>
      </c>
      <c r="K401" s="7">
        <f t="shared" si="203"/>
        <v>1034.65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 t="str">
        <f t="shared" si="198"/>
        <v>Erick</v>
      </c>
      <c r="B402" s="3"/>
      <c r="C402" s="3"/>
      <c r="D402" s="3"/>
      <c r="E402" s="3"/>
      <c r="F402" s="3"/>
      <c r="G402" s="7">
        <f t="shared" si="199"/>
        <v>0</v>
      </c>
      <c r="H402" s="7">
        <f t="shared" si="200"/>
        <v>0</v>
      </c>
      <c r="I402" s="7">
        <f t="shared" si="201"/>
        <v>0</v>
      </c>
      <c r="J402" s="7">
        <f t="shared" si="202"/>
        <v>0</v>
      </c>
      <c r="K402" s="7">
        <f t="shared" si="203"/>
        <v>0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tr">
        <f t="shared" si="198"/>
        <v>Carlos</v>
      </c>
      <c r="B403" s="7">
        <v>362.78</v>
      </c>
      <c r="C403" s="7">
        <v>0.0</v>
      </c>
      <c r="D403" s="7">
        <v>357.82</v>
      </c>
      <c r="E403" s="7">
        <v>357.82</v>
      </c>
      <c r="F403" s="7">
        <v>1.51</v>
      </c>
      <c r="G403" s="7">
        <f t="shared" si="199"/>
        <v>0</v>
      </c>
      <c r="H403" s="7">
        <f t="shared" si="200"/>
        <v>1.51</v>
      </c>
      <c r="I403" s="7">
        <f t="shared" si="201"/>
        <v>0</v>
      </c>
      <c r="J403" s="7">
        <f t="shared" si="202"/>
        <v>720.6</v>
      </c>
      <c r="K403" s="7">
        <f t="shared" si="203"/>
        <v>362.78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tr">
        <f t="shared" si="198"/>
        <v>Tathy</v>
      </c>
      <c r="B404" s="3"/>
      <c r="C404" s="3"/>
      <c r="D404" s="3"/>
      <c r="E404" s="3"/>
      <c r="F404" s="3"/>
      <c r="G404" s="7">
        <f t="shared" si="199"/>
        <v>0</v>
      </c>
      <c r="H404" s="7">
        <f t="shared" si="200"/>
        <v>0</v>
      </c>
      <c r="I404" s="7">
        <f t="shared" si="201"/>
        <v>0</v>
      </c>
      <c r="J404" s="7">
        <f t="shared" si="202"/>
        <v>0</v>
      </c>
      <c r="K404" s="7">
        <f t="shared" si="203"/>
        <v>0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7">
        <f>SUM(B396:B404)</f>
        <v>563.03</v>
      </c>
      <c r="C405" s="3"/>
      <c r="D405" s="7">
        <f t="shared" ref="D405:K405" si="204">SUM(D396:D404)</f>
        <v>3076.89</v>
      </c>
      <c r="E405" s="7">
        <f t="shared" si="204"/>
        <v>3076.89</v>
      </c>
      <c r="F405" s="7">
        <f t="shared" si="204"/>
        <v>2.91</v>
      </c>
      <c r="G405" s="7">
        <f t="shared" si="204"/>
        <v>0</v>
      </c>
      <c r="H405" s="7">
        <f t="shared" si="204"/>
        <v>2.91</v>
      </c>
      <c r="I405" s="7">
        <f t="shared" si="204"/>
        <v>2500</v>
      </c>
      <c r="J405" s="7">
        <f t="shared" si="204"/>
        <v>6139.92</v>
      </c>
      <c r="K405" s="7">
        <f t="shared" si="204"/>
        <v>3063.03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8">
      <c r="A408" s="3" t="s">
        <v>0</v>
      </c>
      <c r="B408" s="12">
        <f>B394+1</f>
        <v>46021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 t="s">
        <v>1</v>
      </c>
      <c r="C409" s="3" t="s">
        <v>2</v>
      </c>
      <c r="D409" s="3" t="s">
        <v>3</v>
      </c>
      <c r="E409" s="3" t="s">
        <v>4</v>
      </c>
      <c r="F409" s="3" t="s">
        <v>5</v>
      </c>
      <c r="G409" s="3" t="s">
        <v>6</v>
      </c>
      <c r="H409" s="3" t="s">
        <v>7</v>
      </c>
      <c r="I409" s="3" t="s">
        <v>8</v>
      </c>
      <c r="J409" s="3" t="s">
        <v>9</v>
      </c>
      <c r="K409" s="3" t="s">
        <v>10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tr">
        <f t="shared" ref="A410:A418" si="205">A396</f>
        <v>Ricardo </v>
      </c>
      <c r="B410" s="10"/>
      <c r="C410" s="3"/>
      <c r="D410" s="3"/>
      <c r="E410" s="3"/>
      <c r="F410" s="3"/>
      <c r="G410" s="7">
        <f t="shared" ref="G410:G418" si="206">D410-E410</f>
        <v>0</v>
      </c>
      <c r="H410" s="7">
        <f t="shared" ref="H410:H418" si="207">G410+F410</f>
        <v>0</v>
      </c>
      <c r="I410" s="7">
        <f t="shared" ref="I410:I418" si="208">C410*500</f>
        <v>0</v>
      </c>
      <c r="J410" s="7">
        <f t="shared" ref="J410:J418" si="209">I410+E410+B410</f>
        <v>0</v>
      </c>
      <c r="K410" s="7">
        <f t="shared" ref="K410:K418" si="210">I410+B410</f>
        <v>0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tr">
        <f t="shared" si="205"/>
        <v>rosa</v>
      </c>
      <c r="B411" s="7">
        <v>455.0</v>
      </c>
      <c r="C411" s="7">
        <v>3.0</v>
      </c>
      <c r="D411" s="7">
        <v>1869.15</v>
      </c>
      <c r="E411" s="7">
        <v>1869.15</v>
      </c>
      <c r="F411" s="8">
        <v>0.73</v>
      </c>
      <c r="G411" s="7">
        <f t="shared" si="206"/>
        <v>0</v>
      </c>
      <c r="H411" s="7">
        <f t="shared" si="207"/>
        <v>0.73</v>
      </c>
      <c r="I411" s="7">
        <f t="shared" si="208"/>
        <v>1500</v>
      </c>
      <c r="J411" s="7">
        <f t="shared" si="209"/>
        <v>3824.15</v>
      </c>
      <c r="K411" s="7">
        <f t="shared" si="210"/>
        <v>1955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tr">
        <f t="shared" si="205"/>
        <v>Gloria </v>
      </c>
      <c r="B412" s="7">
        <v>229.5</v>
      </c>
      <c r="C412" s="3"/>
      <c r="D412" s="7">
        <v>192.93</v>
      </c>
      <c r="E412" s="7">
        <v>192.93</v>
      </c>
      <c r="F412" s="7">
        <v>-1.05</v>
      </c>
      <c r="G412" s="7">
        <f t="shared" si="206"/>
        <v>0</v>
      </c>
      <c r="H412" s="7">
        <f t="shared" si="207"/>
        <v>-1.05</v>
      </c>
      <c r="I412" s="7">
        <f t="shared" si="208"/>
        <v>0</v>
      </c>
      <c r="J412" s="7">
        <f t="shared" si="209"/>
        <v>422.43</v>
      </c>
      <c r="K412" s="7">
        <f t="shared" si="210"/>
        <v>229.5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 t="str">
        <f t="shared" si="205"/>
        <v>Adriana</v>
      </c>
      <c r="B413" s="3"/>
      <c r="C413" s="3"/>
      <c r="D413" s="3"/>
      <c r="E413" s="3"/>
      <c r="F413" s="3"/>
      <c r="G413" s="7">
        <f t="shared" si="206"/>
        <v>0</v>
      </c>
      <c r="H413" s="7">
        <f t="shared" si="207"/>
        <v>0</v>
      </c>
      <c r="I413" s="7">
        <f t="shared" si="208"/>
        <v>0</v>
      </c>
      <c r="J413" s="7">
        <f t="shared" si="209"/>
        <v>0</v>
      </c>
      <c r="K413" s="7">
        <f t="shared" si="210"/>
        <v>0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 t="str">
        <f t="shared" si="205"/>
        <v>diana</v>
      </c>
      <c r="B414" s="3"/>
      <c r="C414" s="3"/>
      <c r="D414" s="3"/>
      <c r="E414" s="3"/>
      <c r="F414" s="3"/>
      <c r="G414" s="7">
        <f t="shared" si="206"/>
        <v>0</v>
      </c>
      <c r="H414" s="7">
        <f t="shared" si="207"/>
        <v>0</v>
      </c>
      <c r="I414" s="7">
        <f t="shared" si="208"/>
        <v>0</v>
      </c>
      <c r="J414" s="7">
        <f t="shared" si="209"/>
        <v>0</v>
      </c>
      <c r="K414" s="7">
        <f t="shared" si="210"/>
        <v>0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 t="str">
        <f t="shared" si="205"/>
        <v>Andrea</v>
      </c>
      <c r="B415" s="7">
        <v>1.95</v>
      </c>
      <c r="C415" s="7">
        <v>2.0</v>
      </c>
      <c r="D415" s="7">
        <v>1162.76</v>
      </c>
      <c r="E415" s="7">
        <v>1162.76</v>
      </c>
      <c r="F415" s="7">
        <v>2.0</v>
      </c>
      <c r="G415" s="7">
        <f t="shared" si="206"/>
        <v>0</v>
      </c>
      <c r="H415" s="7">
        <f t="shared" si="207"/>
        <v>2</v>
      </c>
      <c r="I415" s="7">
        <f t="shared" si="208"/>
        <v>1000</v>
      </c>
      <c r="J415" s="7">
        <f t="shared" si="209"/>
        <v>2164.71</v>
      </c>
      <c r="K415" s="7">
        <f t="shared" si="210"/>
        <v>1001.95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 t="str">
        <f t="shared" si="205"/>
        <v>Erick</v>
      </c>
      <c r="B416" s="3"/>
      <c r="C416" s="3"/>
      <c r="D416" s="3"/>
      <c r="E416" s="3"/>
      <c r="F416" s="3"/>
      <c r="G416" s="7">
        <f t="shared" si="206"/>
        <v>0</v>
      </c>
      <c r="H416" s="7">
        <f t="shared" si="207"/>
        <v>0</v>
      </c>
      <c r="I416" s="7">
        <f t="shared" si="208"/>
        <v>0</v>
      </c>
      <c r="J416" s="7">
        <f t="shared" si="209"/>
        <v>0</v>
      </c>
      <c r="K416" s="7">
        <f t="shared" si="210"/>
        <v>0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tr">
        <f t="shared" si="205"/>
        <v>Carlos</v>
      </c>
      <c r="B417" s="7">
        <v>117.5</v>
      </c>
      <c r="C417" s="7">
        <v>0.0</v>
      </c>
      <c r="D417" s="7">
        <v>180.19</v>
      </c>
      <c r="E417" s="7">
        <v>180.19</v>
      </c>
      <c r="F417" s="7">
        <v>0.09</v>
      </c>
      <c r="G417" s="7">
        <f t="shared" si="206"/>
        <v>0</v>
      </c>
      <c r="H417" s="7">
        <f t="shared" si="207"/>
        <v>0.09</v>
      </c>
      <c r="I417" s="7">
        <f t="shared" si="208"/>
        <v>0</v>
      </c>
      <c r="J417" s="7">
        <f t="shared" si="209"/>
        <v>297.69</v>
      </c>
      <c r="K417" s="7">
        <f t="shared" si="210"/>
        <v>117.5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tr">
        <f t="shared" si="205"/>
        <v>Tathy</v>
      </c>
      <c r="B418" s="3"/>
      <c r="C418" s="3"/>
      <c r="D418" s="3"/>
      <c r="E418" s="3"/>
      <c r="F418" s="3"/>
      <c r="G418" s="7">
        <f t="shared" si="206"/>
        <v>0</v>
      </c>
      <c r="H418" s="7">
        <f t="shared" si="207"/>
        <v>0</v>
      </c>
      <c r="I418" s="7">
        <f t="shared" si="208"/>
        <v>0</v>
      </c>
      <c r="J418" s="7">
        <f t="shared" si="209"/>
        <v>0</v>
      </c>
      <c r="K418" s="7">
        <f t="shared" si="210"/>
        <v>0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7">
        <f>SUM(B410:B418)</f>
        <v>803.95</v>
      </c>
      <c r="C419" s="3"/>
      <c r="D419" s="7">
        <f t="shared" ref="D419:K419" si="211">SUM(D410:D418)</f>
        <v>3405.03</v>
      </c>
      <c r="E419" s="7">
        <f t="shared" si="211"/>
        <v>3405.03</v>
      </c>
      <c r="F419" s="7">
        <f t="shared" si="211"/>
        <v>1.77</v>
      </c>
      <c r="G419" s="7">
        <f t="shared" si="211"/>
        <v>0</v>
      </c>
      <c r="H419" s="7">
        <f t="shared" si="211"/>
        <v>1.77</v>
      </c>
      <c r="I419" s="7">
        <f t="shared" si="211"/>
        <v>2500</v>
      </c>
      <c r="J419" s="7">
        <f t="shared" si="211"/>
        <v>6708.98</v>
      </c>
      <c r="K419" s="7">
        <f t="shared" si="211"/>
        <v>3303.95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2">
      <c r="A422" s="3" t="s">
        <v>0</v>
      </c>
      <c r="B422" s="12">
        <f>B408+1</f>
        <v>46022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 t="s">
        <v>1</v>
      </c>
      <c r="C423" s="3" t="s">
        <v>2</v>
      </c>
      <c r="D423" s="3" t="s">
        <v>3</v>
      </c>
      <c r="E423" s="3" t="s">
        <v>4</v>
      </c>
      <c r="F423" s="3" t="s">
        <v>5</v>
      </c>
      <c r="G423" s="3" t="s">
        <v>6</v>
      </c>
      <c r="H423" s="3" t="s">
        <v>7</v>
      </c>
      <c r="I423" s="3" t="s">
        <v>8</v>
      </c>
      <c r="J423" s="3" t="s">
        <v>9</v>
      </c>
      <c r="K423" s="3" t="s">
        <v>10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tr">
        <f t="shared" ref="A424:A432" si="212">A410</f>
        <v>Ricardo </v>
      </c>
      <c r="B424" s="5"/>
      <c r="C424" s="4"/>
      <c r="D424" s="4"/>
      <c r="E424" s="4"/>
      <c r="F424" s="4"/>
      <c r="G424" s="7">
        <f t="shared" ref="G424:G432" si="213">D424-E424</f>
        <v>0</v>
      </c>
      <c r="H424" s="7">
        <f t="shared" ref="H424:H432" si="214">G424+F424</f>
        <v>0</v>
      </c>
      <c r="I424" s="7">
        <f t="shared" ref="I424:I432" si="215">C424*500</f>
        <v>0</v>
      </c>
      <c r="J424" s="7">
        <f t="shared" ref="J424:J432" si="216">I424+E424+B424</f>
        <v>0</v>
      </c>
      <c r="K424" s="7">
        <f t="shared" ref="K424:K432" si="217">I424+B424</f>
        <v>0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tr">
        <f t="shared" si="212"/>
        <v>rosa</v>
      </c>
      <c r="B425" s="7">
        <v>474.0</v>
      </c>
      <c r="C425" s="3"/>
      <c r="D425" s="7">
        <v>562.02</v>
      </c>
      <c r="E425" s="7">
        <v>562.02</v>
      </c>
      <c r="F425" s="8">
        <v>-0.52</v>
      </c>
      <c r="G425" s="7">
        <f t="shared" si="213"/>
        <v>0</v>
      </c>
      <c r="H425" s="7">
        <f t="shared" si="214"/>
        <v>-0.52</v>
      </c>
      <c r="I425" s="7">
        <f t="shared" si="215"/>
        <v>0</v>
      </c>
      <c r="J425" s="7">
        <f t="shared" si="216"/>
        <v>1036.02</v>
      </c>
      <c r="K425" s="7">
        <f t="shared" si="217"/>
        <v>474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tr">
        <f t="shared" si="212"/>
        <v>Gloria </v>
      </c>
      <c r="B426" s="3"/>
      <c r="C426" s="3"/>
      <c r="D426" s="3"/>
      <c r="E426" s="3"/>
      <c r="F426" s="3"/>
      <c r="G426" s="7">
        <f t="shared" si="213"/>
        <v>0</v>
      </c>
      <c r="H426" s="7">
        <f t="shared" si="214"/>
        <v>0</v>
      </c>
      <c r="I426" s="7">
        <f t="shared" si="215"/>
        <v>0</v>
      </c>
      <c r="J426" s="7">
        <f t="shared" si="216"/>
        <v>0</v>
      </c>
      <c r="K426" s="7">
        <f t="shared" si="217"/>
        <v>0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 t="str">
        <f t="shared" si="212"/>
        <v>Adriana</v>
      </c>
      <c r="B427" s="3"/>
      <c r="C427" s="3"/>
      <c r="D427" s="3"/>
      <c r="E427" s="3"/>
      <c r="F427" s="3"/>
      <c r="G427" s="7">
        <f t="shared" si="213"/>
        <v>0</v>
      </c>
      <c r="H427" s="7">
        <f t="shared" si="214"/>
        <v>0</v>
      </c>
      <c r="I427" s="7">
        <f t="shared" si="215"/>
        <v>0</v>
      </c>
      <c r="J427" s="7">
        <f t="shared" si="216"/>
        <v>0</v>
      </c>
      <c r="K427" s="7">
        <f t="shared" si="217"/>
        <v>0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 t="str">
        <f t="shared" si="212"/>
        <v>diana</v>
      </c>
      <c r="B428" s="3"/>
      <c r="C428" s="3"/>
      <c r="D428" s="3"/>
      <c r="E428" s="3"/>
      <c r="F428" s="3"/>
      <c r="G428" s="7">
        <f t="shared" si="213"/>
        <v>0</v>
      </c>
      <c r="H428" s="7">
        <f t="shared" si="214"/>
        <v>0</v>
      </c>
      <c r="I428" s="7">
        <f t="shared" si="215"/>
        <v>0</v>
      </c>
      <c r="J428" s="7">
        <f t="shared" si="216"/>
        <v>0</v>
      </c>
      <c r="K428" s="7">
        <f t="shared" si="217"/>
        <v>0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 t="str">
        <f t="shared" si="212"/>
        <v>Andrea</v>
      </c>
      <c r="B429" s="14">
        <v>40.88</v>
      </c>
      <c r="C429" s="14">
        <v>5.0</v>
      </c>
      <c r="D429" s="11">
        <v>2755.47</v>
      </c>
      <c r="E429" s="14">
        <v>2755.47</v>
      </c>
      <c r="F429" s="7">
        <v>1.71</v>
      </c>
      <c r="G429" s="7">
        <f t="shared" si="213"/>
        <v>0</v>
      </c>
      <c r="H429" s="7">
        <f t="shared" si="214"/>
        <v>1.71</v>
      </c>
      <c r="I429" s="7">
        <f t="shared" si="215"/>
        <v>2500</v>
      </c>
      <c r="J429" s="7">
        <f t="shared" si="216"/>
        <v>5296.35</v>
      </c>
      <c r="K429" s="7">
        <f t="shared" si="217"/>
        <v>2540.88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 t="str">
        <f t="shared" si="212"/>
        <v>Erick</v>
      </c>
      <c r="B430" s="4"/>
      <c r="C430" s="4"/>
      <c r="D430" s="4"/>
      <c r="E430" s="4"/>
      <c r="F430" s="3"/>
      <c r="G430" s="7">
        <f t="shared" si="213"/>
        <v>0</v>
      </c>
      <c r="H430" s="7">
        <f t="shared" si="214"/>
        <v>0</v>
      </c>
      <c r="I430" s="7">
        <f t="shared" si="215"/>
        <v>0</v>
      </c>
      <c r="J430" s="7">
        <f t="shared" si="216"/>
        <v>0</v>
      </c>
      <c r="K430" s="7">
        <f t="shared" si="217"/>
        <v>0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tr">
        <f t="shared" si="212"/>
        <v>Carlos</v>
      </c>
      <c r="B431" s="3"/>
      <c r="C431" s="3"/>
      <c r="D431" s="3"/>
      <c r="E431" s="3"/>
      <c r="F431" s="3"/>
      <c r="G431" s="7">
        <f t="shared" si="213"/>
        <v>0</v>
      </c>
      <c r="H431" s="7">
        <f t="shared" si="214"/>
        <v>0</v>
      </c>
      <c r="I431" s="7">
        <f t="shared" si="215"/>
        <v>0</v>
      </c>
      <c r="J431" s="7">
        <f t="shared" si="216"/>
        <v>0</v>
      </c>
      <c r="K431" s="7">
        <f t="shared" si="217"/>
        <v>0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tr">
        <f t="shared" si="212"/>
        <v>Tathy</v>
      </c>
      <c r="B432" s="3"/>
      <c r="C432" s="3"/>
      <c r="D432" s="3"/>
      <c r="E432" s="3"/>
      <c r="F432" s="3"/>
      <c r="G432" s="7">
        <f t="shared" si="213"/>
        <v>0</v>
      </c>
      <c r="H432" s="7">
        <f t="shared" si="214"/>
        <v>0</v>
      </c>
      <c r="I432" s="7">
        <f t="shared" si="215"/>
        <v>0</v>
      </c>
      <c r="J432" s="7">
        <f t="shared" si="216"/>
        <v>0</v>
      </c>
      <c r="K432" s="7">
        <f t="shared" si="217"/>
        <v>0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7">
        <f>SUM(B424:B432)</f>
        <v>514.88</v>
      </c>
      <c r="C433" s="3"/>
      <c r="D433" s="7">
        <f t="shared" ref="D433:K433" si="218">SUM(D424:D432)</f>
        <v>3317.49</v>
      </c>
      <c r="E433" s="7">
        <f t="shared" si="218"/>
        <v>3317.49</v>
      </c>
      <c r="F433" s="7">
        <f t="shared" si="218"/>
        <v>1.19</v>
      </c>
      <c r="G433" s="7">
        <f t="shared" si="218"/>
        <v>0</v>
      </c>
      <c r="H433" s="7">
        <f t="shared" si="218"/>
        <v>1.19</v>
      </c>
      <c r="I433" s="7">
        <f t="shared" si="218"/>
        <v>2500</v>
      </c>
      <c r="J433" s="7">
        <f t="shared" si="218"/>
        <v>6332.37</v>
      </c>
      <c r="K433" s="7">
        <f t="shared" si="218"/>
        <v>3014.88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6">
      <c r="A436" s="18" t="s">
        <v>27</v>
      </c>
      <c r="B436" s="3"/>
      <c r="C436" s="3"/>
      <c r="D436" s="3" t="s">
        <v>28</v>
      </c>
      <c r="E436" s="7">
        <f>J13+J27+J41+J55+J69+J83+J97+J111+J125+J139+J153+J167+J181+J195+J209+J223+J237+J251+J265+J279+J293+J307+J321+J335+J349+J363+J377+J391+J405+J419+J433</f>
        <v>164725.57</v>
      </c>
      <c r="F436" s="3"/>
    </row>
    <row r="437">
      <c r="A437" s="3"/>
      <c r="B437" s="18" t="s">
        <v>29</v>
      </c>
      <c r="C437" s="3"/>
      <c r="D437" s="3" t="s">
        <v>1</v>
      </c>
      <c r="E437" s="7">
        <f>K13+K27+K41+K55+K69+K83+K97+K111+K125+K139+K153+K167+K181+K195+K209+K223+K237+K251+K265+K279+K293+K307+K321+K335+K349+K363+K377+K391+K405+K419+K433</f>
        <v>80873.31</v>
      </c>
      <c r="F437" s="3"/>
    </row>
    <row r="438">
      <c r="A438" s="3" t="s">
        <v>16</v>
      </c>
      <c r="B438" s="7">
        <f t="shared" ref="B438:B445" si="219">H4+H18+H32+H74+H88+H102+H116+H130+H144+H158+H172+H186+H200+H214+H228+H242+H256+H270+H284+H298+H312+H326+H340+H354+H368+H382+H396+H410+H424</f>
        <v>0</v>
      </c>
      <c r="C438" s="3"/>
      <c r="D438" s="3"/>
      <c r="E438" s="7"/>
      <c r="F438" s="3"/>
    </row>
    <row r="439">
      <c r="A439" s="3" t="s">
        <v>12</v>
      </c>
      <c r="B439" s="7">
        <f t="shared" si="219"/>
        <v>2.42</v>
      </c>
      <c r="C439" s="3"/>
      <c r="D439" s="3"/>
      <c r="E439" s="7"/>
      <c r="F439" s="7"/>
    </row>
    <row r="440">
      <c r="A440" s="3" t="s">
        <v>14</v>
      </c>
      <c r="B440" s="7">
        <f t="shared" si="219"/>
        <v>0.4</v>
      </c>
      <c r="C440" s="3"/>
      <c r="D440" s="11" t="s">
        <v>30</v>
      </c>
      <c r="E440" s="3"/>
      <c r="F440" s="3"/>
    </row>
    <row r="441">
      <c r="A441" s="11" t="s">
        <v>31</v>
      </c>
      <c r="B441" s="7">
        <f t="shared" si="219"/>
        <v>0</v>
      </c>
      <c r="C441" s="3"/>
      <c r="D441" s="3"/>
      <c r="E441" s="3"/>
      <c r="F441" s="3"/>
    </row>
    <row r="442">
      <c r="A442" s="11" t="s">
        <v>21</v>
      </c>
      <c r="B442" s="7">
        <f t="shared" si="219"/>
        <v>1.01</v>
      </c>
      <c r="C442" s="3"/>
      <c r="D442" s="3"/>
      <c r="E442" s="3"/>
      <c r="F442" s="3"/>
    </row>
    <row r="443">
      <c r="A443" s="11" t="s">
        <v>32</v>
      </c>
      <c r="B443" s="7">
        <f t="shared" si="219"/>
        <v>1.95</v>
      </c>
      <c r="C443" s="3"/>
      <c r="D443" s="3"/>
      <c r="E443" s="3"/>
      <c r="F443" s="3"/>
    </row>
    <row r="444">
      <c r="A444" s="11" t="s">
        <v>33</v>
      </c>
      <c r="B444" s="7">
        <f t="shared" si="219"/>
        <v>0.56</v>
      </c>
      <c r="C444" s="3"/>
      <c r="D444" s="3"/>
      <c r="E444" s="3"/>
      <c r="F444" s="3"/>
    </row>
    <row r="445">
      <c r="A445" s="3"/>
      <c r="B445" s="7">
        <f t="shared" si="219"/>
        <v>5.56</v>
      </c>
      <c r="C445" s="3"/>
      <c r="D445" s="3"/>
      <c r="E445" s="3"/>
      <c r="F445" s="3"/>
    </row>
    <row r="446">
      <c r="A446" s="3" t="s">
        <v>34</v>
      </c>
      <c r="B446" s="7">
        <f>SUM(B438:B444)</f>
        <v>6.34</v>
      </c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>
        <v>45992.0</v>
      </c>
    </row>
    <row r="3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s="3" t="s">
        <v>11</v>
      </c>
      <c r="B4" s="4"/>
      <c r="C4" s="4"/>
      <c r="D4" s="4"/>
      <c r="E4" s="4"/>
      <c r="F4" s="4"/>
      <c r="G4" s="6">
        <f t="shared" ref="G4:G12" si="1">D4-E4</f>
        <v>0</v>
      </c>
      <c r="H4" s="6">
        <f t="shared" ref="H4:H12" si="2">G4+F4</f>
        <v>0</v>
      </c>
      <c r="I4" s="6">
        <f t="shared" ref="I4:I12" si="3">C4*500</f>
        <v>0</v>
      </c>
      <c r="J4" s="6">
        <f t="shared" ref="J4:J12" si="4">I4+E4+B4</f>
        <v>0</v>
      </c>
      <c r="K4" s="6">
        <f t="shared" ref="K4:K12" si="5">I4+B4</f>
        <v>0</v>
      </c>
    </row>
    <row r="5">
      <c r="A5" s="3" t="s">
        <v>13</v>
      </c>
      <c r="B5" s="7">
        <v>428.02</v>
      </c>
      <c r="C5" s="7">
        <v>2.0</v>
      </c>
      <c r="D5" s="7">
        <v>2455.54</v>
      </c>
      <c r="E5" s="7">
        <v>2455.54</v>
      </c>
      <c r="F5" s="7">
        <v>5.25</v>
      </c>
      <c r="G5" s="6">
        <f t="shared" si="1"/>
        <v>0</v>
      </c>
      <c r="H5" s="6">
        <f t="shared" si="2"/>
        <v>5.25</v>
      </c>
      <c r="I5" s="6">
        <f t="shared" si="3"/>
        <v>1000</v>
      </c>
      <c r="J5" s="6">
        <f t="shared" si="4"/>
        <v>3883.56</v>
      </c>
      <c r="K5" s="6">
        <f t="shared" si="5"/>
        <v>1428.02</v>
      </c>
    </row>
    <row r="6">
      <c r="A6" s="3" t="s">
        <v>15</v>
      </c>
      <c r="B6" s="7">
        <v>68.3</v>
      </c>
      <c r="C6" s="3"/>
      <c r="D6" s="7">
        <v>122.59</v>
      </c>
      <c r="E6" s="7">
        <v>122.59</v>
      </c>
      <c r="F6" s="7">
        <v>-0.55</v>
      </c>
      <c r="G6" s="6">
        <f t="shared" si="1"/>
        <v>0</v>
      </c>
      <c r="H6" s="6">
        <f t="shared" si="2"/>
        <v>-0.55</v>
      </c>
      <c r="I6" s="6">
        <f t="shared" si="3"/>
        <v>0</v>
      </c>
      <c r="J6" s="6">
        <f t="shared" si="4"/>
        <v>190.89</v>
      </c>
      <c r="K6" s="6">
        <f t="shared" si="5"/>
        <v>68.3</v>
      </c>
    </row>
    <row r="7">
      <c r="A7" s="9" t="s">
        <v>17</v>
      </c>
      <c r="B7" s="3"/>
      <c r="C7" s="3"/>
      <c r="D7" s="3"/>
      <c r="E7" s="3"/>
      <c r="F7" s="3"/>
      <c r="G7" s="6">
        <f t="shared" si="1"/>
        <v>0</v>
      </c>
      <c r="H7" s="6">
        <f t="shared" si="2"/>
        <v>0</v>
      </c>
      <c r="I7" s="6">
        <f t="shared" si="3"/>
        <v>0</v>
      </c>
      <c r="J7" s="6">
        <f t="shared" si="4"/>
        <v>0</v>
      </c>
      <c r="K7" s="6">
        <f t="shared" si="5"/>
        <v>0</v>
      </c>
    </row>
    <row r="8">
      <c r="A8" s="4" t="s">
        <v>18</v>
      </c>
      <c r="B8" s="3"/>
      <c r="C8" s="3"/>
      <c r="D8" s="3"/>
      <c r="E8" s="3"/>
      <c r="F8" s="3"/>
      <c r="G8" s="6">
        <f t="shared" si="1"/>
        <v>0</v>
      </c>
      <c r="H8" s="6">
        <f t="shared" si="2"/>
        <v>0</v>
      </c>
      <c r="I8" s="6">
        <f t="shared" si="3"/>
        <v>0</v>
      </c>
      <c r="J8" s="6">
        <f t="shared" si="4"/>
        <v>0</v>
      </c>
      <c r="K8" s="6">
        <f t="shared" si="5"/>
        <v>0</v>
      </c>
    </row>
    <row r="9">
      <c r="A9" s="4" t="s">
        <v>20</v>
      </c>
      <c r="B9" s="7">
        <v>79.0</v>
      </c>
      <c r="C9" s="7">
        <v>3.0</v>
      </c>
      <c r="D9" s="7">
        <v>1908.82</v>
      </c>
      <c r="E9" s="7">
        <v>1908.82</v>
      </c>
      <c r="F9" s="3"/>
      <c r="G9" s="6">
        <f t="shared" si="1"/>
        <v>0</v>
      </c>
      <c r="H9" s="6">
        <f t="shared" si="2"/>
        <v>0</v>
      </c>
      <c r="I9" s="6">
        <f t="shared" si="3"/>
        <v>1500</v>
      </c>
      <c r="J9" s="6">
        <f t="shared" si="4"/>
        <v>3487.82</v>
      </c>
      <c r="K9" s="6">
        <f t="shared" si="5"/>
        <v>1579</v>
      </c>
    </row>
    <row r="10">
      <c r="A10" s="4" t="s">
        <v>22</v>
      </c>
      <c r="B10" s="3"/>
      <c r="C10" s="3"/>
      <c r="D10" s="3"/>
      <c r="E10" s="3"/>
      <c r="F10" s="3"/>
      <c r="G10" s="6">
        <f t="shared" si="1"/>
        <v>0</v>
      </c>
      <c r="H10" s="6">
        <f t="shared" si="2"/>
        <v>0</v>
      </c>
      <c r="I10" s="6">
        <f t="shared" si="3"/>
        <v>0</v>
      </c>
      <c r="J10" s="6">
        <f t="shared" si="4"/>
        <v>0</v>
      </c>
      <c r="K10" s="6">
        <f t="shared" si="5"/>
        <v>0</v>
      </c>
    </row>
    <row r="11">
      <c r="A11" s="3" t="s">
        <v>23</v>
      </c>
      <c r="B11" s="3"/>
      <c r="C11" s="3"/>
      <c r="D11" s="3"/>
      <c r="E11" s="3"/>
      <c r="F11" s="3"/>
      <c r="G11" s="6">
        <f t="shared" si="1"/>
        <v>0</v>
      </c>
      <c r="H11" s="6">
        <f t="shared" si="2"/>
        <v>0</v>
      </c>
      <c r="I11" s="6">
        <f t="shared" si="3"/>
        <v>0</v>
      </c>
      <c r="J11" s="6">
        <f t="shared" si="4"/>
        <v>0</v>
      </c>
      <c r="K11" s="6">
        <f t="shared" si="5"/>
        <v>0</v>
      </c>
    </row>
    <row r="12">
      <c r="G12" s="6">
        <f t="shared" si="1"/>
        <v>0</v>
      </c>
      <c r="H12" s="6">
        <f t="shared" si="2"/>
        <v>0</v>
      </c>
      <c r="I12" s="6">
        <f t="shared" si="3"/>
        <v>0</v>
      </c>
      <c r="J12" s="6">
        <f t="shared" si="4"/>
        <v>0</v>
      </c>
      <c r="K12" s="6">
        <f t="shared" si="5"/>
        <v>0</v>
      </c>
    </row>
    <row r="13">
      <c r="B13" s="6">
        <f>SUM(B4:B12)</f>
        <v>575.32</v>
      </c>
      <c r="D13" s="6">
        <f t="shared" ref="D13:K13" si="6">SUM(D4:D12)</f>
        <v>4486.95</v>
      </c>
      <c r="E13" s="6">
        <f t="shared" si="6"/>
        <v>4486.95</v>
      </c>
      <c r="F13" s="6">
        <f t="shared" si="6"/>
        <v>4.7</v>
      </c>
      <c r="G13" s="6">
        <f t="shared" si="6"/>
        <v>0</v>
      </c>
      <c r="H13" s="6">
        <f t="shared" si="6"/>
        <v>4.7</v>
      </c>
      <c r="I13" s="6">
        <f t="shared" si="6"/>
        <v>2500</v>
      </c>
      <c r="J13" s="6">
        <f t="shared" si="6"/>
        <v>7562.27</v>
      </c>
      <c r="K13" s="6">
        <f t="shared" si="6"/>
        <v>3075.32</v>
      </c>
    </row>
    <row r="16">
      <c r="A16" s="1" t="s">
        <v>0</v>
      </c>
      <c r="B16" s="2">
        <f>B2+1</f>
        <v>45993</v>
      </c>
    </row>
    <row r="17">
      <c r="A17" s="3"/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>
      <c r="A18" s="3" t="str">
        <f t="shared" ref="A18:A26" si="7">A4</f>
        <v>Mónica</v>
      </c>
      <c r="B18" s="3"/>
      <c r="C18" s="3"/>
      <c r="D18" s="4"/>
      <c r="E18" s="4"/>
      <c r="F18" s="4"/>
      <c r="G18" s="6">
        <f t="shared" ref="G18:G26" si="8">D18-E18</f>
        <v>0</v>
      </c>
      <c r="H18" s="6">
        <f t="shared" ref="H18:H26" si="9">G18+F18</f>
        <v>0</v>
      </c>
      <c r="I18" s="6">
        <f t="shared" ref="I18:I26" si="10">C18*500</f>
        <v>0</v>
      </c>
      <c r="J18" s="6">
        <f t="shared" ref="J18:J26" si="11">I18+E18+B18</f>
        <v>0</v>
      </c>
      <c r="K18" s="6">
        <f t="shared" ref="K18:K26" si="12">I18+B18</f>
        <v>0</v>
      </c>
    </row>
    <row r="19">
      <c r="A19" s="3" t="str">
        <f t="shared" si="7"/>
        <v>Dani</v>
      </c>
      <c r="B19" s="7">
        <v>89.21</v>
      </c>
      <c r="C19" s="7">
        <v>2.0</v>
      </c>
      <c r="D19" s="7">
        <v>2199.1</v>
      </c>
      <c r="E19" s="7">
        <v>2199.1</v>
      </c>
      <c r="F19" s="7">
        <v>3.54</v>
      </c>
      <c r="G19" s="6">
        <f t="shared" si="8"/>
        <v>0</v>
      </c>
      <c r="H19" s="6">
        <f t="shared" si="9"/>
        <v>3.54</v>
      </c>
      <c r="I19" s="6">
        <f t="shared" si="10"/>
        <v>1000</v>
      </c>
      <c r="J19" s="6">
        <f t="shared" si="11"/>
        <v>3288.31</v>
      </c>
      <c r="K19" s="6">
        <f t="shared" si="12"/>
        <v>1089.21</v>
      </c>
    </row>
    <row r="20">
      <c r="A20" s="3" t="str">
        <f t="shared" si="7"/>
        <v>Sol </v>
      </c>
      <c r="B20" s="7">
        <v>54.61</v>
      </c>
      <c r="C20" s="3"/>
      <c r="D20" s="7">
        <v>227.99</v>
      </c>
      <c r="E20" s="7">
        <v>277.99</v>
      </c>
      <c r="F20" s="7">
        <v>0.16</v>
      </c>
      <c r="G20" s="6">
        <f t="shared" si="8"/>
        <v>-50</v>
      </c>
      <c r="H20" s="6">
        <f t="shared" si="9"/>
        <v>-49.84</v>
      </c>
      <c r="I20" s="6">
        <f t="shared" si="10"/>
        <v>0</v>
      </c>
      <c r="J20" s="6">
        <f t="shared" si="11"/>
        <v>332.6</v>
      </c>
      <c r="K20" s="6">
        <f t="shared" si="12"/>
        <v>54.61</v>
      </c>
    </row>
    <row r="21">
      <c r="A21" s="11" t="str">
        <f t="shared" si="7"/>
        <v>Katherine </v>
      </c>
      <c r="B21" s="3"/>
      <c r="C21" s="3"/>
      <c r="D21" s="3"/>
      <c r="E21" s="3"/>
      <c r="F21" s="3"/>
      <c r="G21" s="6">
        <f t="shared" si="8"/>
        <v>0</v>
      </c>
      <c r="H21" s="6">
        <f t="shared" si="9"/>
        <v>0</v>
      </c>
      <c r="I21" s="6">
        <f t="shared" si="10"/>
        <v>0</v>
      </c>
      <c r="J21" s="6">
        <f t="shared" si="11"/>
        <v>0</v>
      </c>
      <c r="K21" s="6">
        <f t="shared" si="12"/>
        <v>0</v>
      </c>
    </row>
    <row r="22">
      <c r="A22" s="11" t="str">
        <f t="shared" si="7"/>
        <v>Luisa </v>
      </c>
      <c r="B22" s="3"/>
      <c r="C22" s="3"/>
      <c r="D22" s="3"/>
      <c r="E22" s="3"/>
      <c r="F22" s="3"/>
      <c r="G22" s="6">
        <f t="shared" si="8"/>
        <v>0</v>
      </c>
      <c r="H22" s="6">
        <f t="shared" si="9"/>
        <v>0</v>
      </c>
      <c r="I22" s="6">
        <f t="shared" si="10"/>
        <v>0</v>
      </c>
      <c r="J22" s="6">
        <f t="shared" si="11"/>
        <v>0</v>
      </c>
      <c r="K22" s="6">
        <f t="shared" si="12"/>
        <v>0</v>
      </c>
    </row>
    <row r="23">
      <c r="A23" s="11" t="str">
        <f t="shared" si="7"/>
        <v>Andrea</v>
      </c>
      <c r="B23" s="7">
        <v>205.0</v>
      </c>
      <c r="C23" s="3"/>
      <c r="D23" s="7">
        <v>1609.0</v>
      </c>
      <c r="E23" s="7">
        <v>1609.0</v>
      </c>
      <c r="F23" s="7">
        <v>-15.8</v>
      </c>
      <c r="G23" s="6">
        <f t="shared" si="8"/>
        <v>0</v>
      </c>
      <c r="H23" s="6">
        <f t="shared" si="9"/>
        <v>-15.8</v>
      </c>
      <c r="I23" s="6">
        <f t="shared" si="10"/>
        <v>0</v>
      </c>
      <c r="J23" s="6">
        <f t="shared" si="11"/>
        <v>1814</v>
      </c>
      <c r="K23" s="6">
        <f t="shared" si="12"/>
        <v>205</v>
      </c>
    </row>
    <row r="24">
      <c r="A24" s="11" t="str">
        <f t="shared" si="7"/>
        <v>Miriam</v>
      </c>
      <c r="B24" s="3"/>
      <c r="C24" s="3"/>
      <c r="D24" s="3"/>
      <c r="E24" s="3"/>
      <c r="F24" s="3"/>
      <c r="G24" s="6">
        <f t="shared" si="8"/>
        <v>0</v>
      </c>
      <c r="H24" s="6">
        <f t="shared" si="9"/>
        <v>0</v>
      </c>
      <c r="I24" s="6">
        <f t="shared" si="10"/>
        <v>0</v>
      </c>
      <c r="J24" s="6">
        <f t="shared" si="11"/>
        <v>0</v>
      </c>
      <c r="K24" s="6">
        <f t="shared" si="12"/>
        <v>0</v>
      </c>
    </row>
    <row r="25">
      <c r="A25" s="6" t="str">
        <f t="shared" si="7"/>
        <v>Kevin</v>
      </c>
      <c r="B25" s="3"/>
      <c r="C25" s="3"/>
      <c r="D25" s="3"/>
      <c r="E25" s="3"/>
      <c r="F25" s="3"/>
      <c r="G25" s="6">
        <f t="shared" si="8"/>
        <v>0</v>
      </c>
      <c r="H25" s="6">
        <f t="shared" si="9"/>
        <v>0</v>
      </c>
      <c r="I25" s="6">
        <f t="shared" si="10"/>
        <v>0</v>
      </c>
      <c r="J25" s="6">
        <f t="shared" si="11"/>
        <v>0</v>
      </c>
      <c r="K25" s="6">
        <f t="shared" si="12"/>
        <v>0</v>
      </c>
    </row>
    <row r="26">
      <c r="A26" s="6" t="str">
        <f t="shared" si="7"/>
        <v/>
      </c>
      <c r="G26" s="6">
        <f t="shared" si="8"/>
        <v>0</v>
      </c>
      <c r="H26" s="6">
        <f t="shared" si="9"/>
        <v>0</v>
      </c>
      <c r="I26" s="6">
        <f t="shared" si="10"/>
        <v>0</v>
      </c>
      <c r="J26" s="6">
        <f t="shared" si="11"/>
        <v>0</v>
      </c>
      <c r="K26" s="6">
        <f t="shared" si="12"/>
        <v>0</v>
      </c>
    </row>
    <row r="27">
      <c r="B27" s="6">
        <f>SUM(B18:B26)</f>
        <v>348.82</v>
      </c>
      <c r="D27" s="6">
        <f t="shared" ref="D27:K27" si="13">SUM(D18:D26)</f>
        <v>4036.09</v>
      </c>
      <c r="E27" s="6">
        <f t="shared" si="13"/>
        <v>4086.09</v>
      </c>
      <c r="F27" s="6">
        <f t="shared" si="13"/>
        <v>-12.1</v>
      </c>
      <c r="G27" s="6">
        <f t="shared" si="13"/>
        <v>-50</v>
      </c>
      <c r="H27" s="6">
        <f t="shared" si="13"/>
        <v>-62.1</v>
      </c>
      <c r="I27" s="6">
        <f t="shared" si="13"/>
        <v>1000</v>
      </c>
      <c r="J27" s="6">
        <f t="shared" si="13"/>
        <v>5434.91</v>
      </c>
      <c r="K27" s="6">
        <f t="shared" si="13"/>
        <v>1348.82</v>
      </c>
    </row>
    <row r="30">
      <c r="A30" s="3" t="s">
        <v>0</v>
      </c>
      <c r="B30" s="12">
        <f>B16+1</f>
        <v>45994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tr">
        <f t="shared" ref="A32:A40" si="14">A18</f>
        <v>Mónica</v>
      </c>
      <c r="B32" s="3"/>
      <c r="C32" s="3"/>
      <c r="D32" s="3"/>
      <c r="E32" s="3"/>
      <c r="F32" s="3"/>
      <c r="G32" s="7">
        <f t="shared" ref="G32:G40" si="15">D32-E32</f>
        <v>0</v>
      </c>
      <c r="H32" s="7">
        <f t="shared" ref="H32:H40" si="16">G32+F32</f>
        <v>0</v>
      </c>
      <c r="I32" s="7">
        <f t="shared" ref="I32:I40" si="17">C32*500</f>
        <v>0</v>
      </c>
      <c r="J32" s="7">
        <f t="shared" ref="J32:J40" si="18">I32+E32+B32</f>
        <v>0</v>
      </c>
      <c r="K32" s="7">
        <f t="shared" ref="K32:K40" si="19">I32+B32</f>
        <v>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tr">
        <f t="shared" si="14"/>
        <v>Dani</v>
      </c>
      <c r="B33" s="7">
        <v>330.7</v>
      </c>
      <c r="C33" s="7">
        <v>1.0</v>
      </c>
      <c r="D33" s="7">
        <v>1855.89</v>
      </c>
      <c r="E33" s="7">
        <v>1855.89</v>
      </c>
      <c r="F33" s="7">
        <v>2.92</v>
      </c>
      <c r="G33" s="7">
        <f t="shared" si="15"/>
        <v>0</v>
      </c>
      <c r="H33" s="7">
        <f t="shared" si="16"/>
        <v>2.92</v>
      </c>
      <c r="I33" s="7">
        <f t="shared" si="17"/>
        <v>500</v>
      </c>
      <c r="J33" s="7">
        <f t="shared" si="18"/>
        <v>2686.59</v>
      </c>
      <c r="K33" s="7">
        <f t="shared" si="19"/>
        <v>830.7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tr">
        <f t="shared" si="14"/>
        <v>Sol </v>
      </c>
      <c r="B34" s="7">
        <v>191.16</v>
      </c>
      <c r="C34" s="3"/>
      <c r="D34" s="7">
        <v>233.09</v>
      </c>
      <c r="E34" s="7">
        <v>233.09</v>
      </c>
      <c r="F34" s="7">
        <v>0.84</v>
      </c>
      <c r="G34" s="7">
        <f t="shared" si="15"/>
        <v>0</v>
      </c>
      <c r="H34" s="7">
        <f t="shared" si="16"/>
        <v>0.84</v>
      </c>
      <c r="I34" s="7">
        <f t="shared" si="17"/>
        <v>0</v>
      </c>
      <c r="J34" s="7">
        <f t="shared" si="18"/>
        <v>424.25</v>
      </c>
      <c r="K34" s="7">
        <f t="shared" si="19"/>
        <v>191.16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" t="str">
        <f t="shared" si="14"/>
        <v>Katherine </v>
      </c>
      <c r="B35" s="3"/>
      <c r="C35" s="3"/>
      <c r="D35" s="3"/>
      <c r="E35" s="3"/>
      <c r="F35" s="3"/>
      <c r="G35" s="7">
        <f t="shared" si="15"/>
        <v>0</v>
      </c>
      <c r="H35" s="7">
        <f t="shared" si="16"/>
        <v>0</v>
      </c>
      <c r="I35" s="7">
        <f t="shared" si="17"/>
        <v>0</v>
      </c>
      <c r="J35" s="7">
        <f t="shared" si="18"/>
        <v>0</v>
      </c>
      <c r="K35" s="7">
        <f t="shared" si="19"/>
        <v>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 t="str">
        <f t="shared" si="14"/>
        <v>Luisa </v>
      </c>
      <c r="B36" s="3"/>
      <c r="C36" s="3"/>
      <c r="D36" s="3"/>
      <c r="E36" s="3"/>
      <c r="F36" s="3"/>
      <c r="G36" s="7">
        <f t="shared" si="15"/>
        <v>0</v>
      </c>
      <c r="H36" s="7">
        <f t="shared" si="16"/>
        <v>0</v>
      </c>
      <c r="I36" s="7">
        <f t="shared" si="17"/>
        <v>0</v>
      </c>
      <c r="J36" s="7">
        <f t="shared" si="18"/>
        <v>0</v>
      </c>
      <c r="K36" s="7">
        <f t="shared" si="19"/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" t="str">
        <f t="shared" si="14"/>
        <v>Andrea</v>
      </c>
      <c r="B37" s="7">
        <v>140.0</v>
      </c>
      <c r="C37" s="7">
        <v>2.0</v>
      </c>
      <c r="D37" s="7">
        <v>1297.91</v>
      </c>
      <c r="E37" s="7">
        <v>1297.91</v>
      </c>
      <c r="F37" s="7">
        <v>-1.03</v>
      </c>
      <c r="G37" s="7">
        <f t="shared" si="15"/>
        <v>0</v>
      </c>
      <c r="H37" s="7">
        <f t="shared" si="16"/>
        <v>-1.03</v>
      </c>
      <c r="I37" s="7">
        <f t="shared" si="17"/>
        <v>1000</v>
      </c>
      <c r="J37" s="7">
        <f t="shared" si="18"/>
        <v>2437.91</v>
      </c>
      <c r="K37" s="7">
        <f t="shared" si="19"/>
        <v>1140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" t="str">
        <f t="shared" si="14"/>
        <v>Miriam</v>
      </c>
      <c r="B38" s="3"/>
      <c r="C38" s="3"/>
      <c r="D38" s="3"/>
      <c r="E38" s="3"/>
      <c r="F38" s="3"/>
      <c r="G38" s="7">
        <f t="shared" si="15"/>
        <v>0</v>
      </c>
      <c r="H38" s="7">
        <f t="shared" si="16"/>
        <v>0</v>
      </c>
      <c r="I38" s="7">
        <f t="shared" si="17"/>
        <v>0</v>
      </c>
      <c r="J38" s="7">
        <f t="shared" si="18"/>
        <v>0</v>
      </c>
      <c r="K38" s="7">
        <f t="shared" si="19"/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 t="str">
        <f t="shared" si="14"/>
        <v>Kevin</v>
      </c>
      <c r="B39" s="3"/>
      <c r="C39" s="3"/>
      <c r="D39" s="3"/>
      <c r="E39" s="3"/>
      <c r="F39" s="3"/>
      <c r="G39" s="7">
        <f t="shared" si="15"/>
        <v>0</v>
      </c>
      <c r="H39" s="7">
        <f t="shared" si="16"/>
        <v>0</v>
      </c>
      <c r="I39" s="7">
        <f t="shared" si="17"/>
        <v>0</v>
      </c>
      <c r="J39" s="7">
        <f t="shared" si="18"/>
        <v>0</v>
      </c>
      <c r="K39" s="7">
        <f t="shared" si="19"/>
        <v>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 t="str">
        <f t="shared" si="14"/>
        <v/>
      </c>
      <c r="B40" s="3"/>
      <c r="C40" s="3"/>
      <c r="D40" s="3"/>
      <c r="E40" s="3"/>
      <c r="F40" s="3"/>
      <c r="G40" s="7">
        <f t="shared" si="15"/>
        <v>0</v>
      </c>
      <c r="H40" s="7">
        <f t="shared" si="16"/>
        <v>0</v>
      </c>
      <c r="I40" s="7">
        <f t="shared" si="17"/>
        <v>0</v>
      </c>
      <c r="J40" s="7">
        <f t="shared" si="18"/>
        <v>0</v>
      </c>
      <c r="K40" s="7">
        <f t="shared" si="19"/>
        <v>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>
        <f>SUM(B32:B40)</f>
        <v>661.86</v>
      </c>
      <c r="C41" s="3"/>
      <c r="D41" s="7">
        <f t="shared" ref="D41:K41" si="20">SUM(D32:D40)</f>
        <v>3386.89</v>
      </c>
      <c r="E41" s="7">
        <f t="shared" si="20"/>
        <v>3386.89</v>
      </c>
      <c r="F41" s="7">
        <f t="shared" si="20"/>
        <v>2.73</v>
      </c>
      <c r="G41" s="7">
        <f t="shared" si="20"/>
        <v>0</v>
      </c>
      <c r="H41" s="7">
        <f t="shared" si="20"/>
        <v>2.73</v>
      </c>
      <c r="I41" s="7">
        <f t="shared" si="20"/>
        <v>1500</v>
      </c>
      <c r="J41" s="7">
        <f t="shared" si="20"/>
        <v>5548.75</v>
      </c>
      <c r="K41" s="7">
        <f t="shared" si="20"/>
        <v>2161.86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4">
      <c r="A44" s="3" t="s">
        <v>0</v>
      </c>
      <c r="B44" s="12">
        <f>B30+1</f>
        <v>45995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 t="s">
        <v>1</v>
      </c>
      <c r="C45" s="3" t="s">
        <v>2</v>
      </c>
      <c r="D45" s="3" t="s">
        <v>3</v>
      </c>
      <c r="E45" s="3" t="s">
        <v>4</v>
      </c>
      <c r="F45" s="3" t="s">
        <v>5</v>
      </c>
      <c r="G45" s="3" t="s">
        <v>6</v>
      </c>
      <c r="H45" s="3" t="s">
        <v>7</v>
      </c>
      <c r="I45" s="3" t="s">
        <v>8</v>
      </c>
      <c r="J45" s="3" t="s">
        <v>9</v>
      </c>
      <c r="K45" s="3" t="s">
        <v>10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tr">
        <f t="shared" ref="A46:A54" si="21">A32</f>
        <v>Mónica</v>
      </c>
      <c r="B46" s="3"/>
      <c r="C46" s="3"/>
      <c r="D46" s="3"/>
      <c r="E46" s="3"/>
      <c r="F46" s="3"/>
      <c r="G46" s="7">
        <f t="shared" ref="G46:G54" si="22">D46-E46</f>
        <v>0</v>
      </c>
      <c r="H46" s="7">
        <f t="shared" ref="H46:H54" si="23">G46+F46</f>
        <v>0</v>
      </c>
      <c r="I46" s="7">
        <f t="shared" ref="I46:I54" si="24">C46*500</f>
        <v>0</v>
      </c>
      <c r="J46" s="7">
        <f t="shared" ref="J46:J54" si="25">I46+E46+B46</f>
        <v>0</v>
      </c>
      <c r="K46" s="7">
        <f t="shared" ref="K46:K54" si="26">I46+B46</f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tr">
        <f t="shared" si="21"/>
        <v>Dani</v>
      </c>
      <c r="B47" s="7">
        <v>382.55</v>
      </c>
      <c r="C47" s="7">
        <v>1.0</v>
      </c>
      <c r="D47" s="7">
        <v>1526.56</v>
      </c>
      <c r="E47" s="7">
        <v>1526.56</v>
      </c>
      <c r="F47" s="7">
        <v>3.14</v>
      </c>
      <c r="G47" s="7">
        <f t="shared" si="22"/>
        <v>0</v>
      </c>
      <c r="H47" s="7">
        <f t="shared" si="23"/>
        <v>3.14</v>
      </c>
      <c r="I47" s="7">
        <f t="shared" si="24"/>
        <v>500</v>
      </c>
      <c r="J47" s="7">
        <f t="shared" si="25"/>
        <v>2409.11</v>
      </c>
      <c r="K47" s="7">
        <f t="shared" si="26"/>
        <v>882.55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tr">
        <f t="shared" si="21"/>
        <v>Sol </v>
      </c>
      <c r="B48" s="7">
        <v>40.59</v>
      </c>
      <c r="C48" s="3"/>
      <c r="D48" s="7">
        <v>69.98</v>
      </c>
      <c r="E48" s="7">
        <v>69.98</v>
      </c>
      <c r="F48" s="7">
        <v>-0.69</v>
      </c>
      <c r="G48" s="7">
        <f t="shared" si="22"/>
        <v>0</v>
      </c>
      <c r="H48" s="7">
        <f t="shared" si="23"/>
        <v>-0.69</v>
      </c>
      <c r="I48" s="7">
        <f t="shared" si="24"/>
        <v>0</v>
      </c>
      <c r="J48" s="7">
        <f t="shared" si="25"/>
        <v>110.57</v>
      </c>
      <c r="K48" s="7">
        <f t="shared" si="26"/>
        <v>40.59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tr">
        <f t="shared" si="21"/>
        <v>Katherine </v>
      </c>
      <c r="B49" s="3"/>
      <c r="C49" s="3"/>
      <c r="D49" s="3"/>
      <c r="E49" s="3"/>
      <c r="F49" s="3"/>
      <c r="G49" s="7">
        <f t="shared" si="22"/>
        <v>0</v>
      </c>
      <c r="H49" s="7">
        <f t="shared" si="23"/>
        <v>0</v>
      </c>
      <c r="I49" s="7">
        <f t="shared" si="24"/>
        <v>0</v>
      </c>
      <c r="J49" s="7">
        <f t="shared" si="25"/>
        <v>0</v>
      </c>
      <c r="K49" s="7">
        <f t="shared" si="26"/>
        <v>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tr">
        <f t="shared" si="21"/>
        <v>Luisa </v>
      </c>
      <c r="B50" s="3"/>
      <c r="C50" s="3"/>
      <c r="D50" s="3"/>
      <c r="E50" s="3"/>
      <c r="F50" s="3"/>
      <c r="G50" s="7">
        <f t="shared" si="22"/>
        <v>0</v>
      </c>
      <c r="H50" s="7">
        <f t="shared" si="23"/>
        <v>0</v>
      </c>
      <c r="I50" s="7">
        <f t="shared" si="24"/>
        <v>0</v>
      </c>
      <c r="J50" s="7">
        <f t="shared" si="25"/>
        <v>0</v>
      </c>
      <c r="K50" s="7">
        <f t="shared" si="26"/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tr">
        <f t="shared" si="21"/>
        <v>Andrea</v>
      </c>
      <c r="B51" s="7">
        <v>385.3</v>
      </c>
      <c r="C51" s="7">
        <v>2.0</v>
      </c>
      <c r="D51" s="7">
        <v>1833.1</v>
      </c>
      <c r="E51" s="7">
        <v>1833.1</v>
      </c>
      <c r="F51" s="7">
        <v>-1.1</v>
      </c>
      <c r="G51" s="7">
        <f t="shared" si="22"/>
        <v>0</v>
      </c>
      <c r="H51" s="7">
        <f t="shared" si="23"/>
        <v>-1.1</v>
      </c>
      <c r="I51" s="7">
        <f t="shared" si="24"/>
        <v>1000</v>
      </c>
      <c r="J51" s="7">
        <f t="shared" si="25"/>
        <v>3218.4</v>
      </c>
      <c r="K51" s="7">
        <f t="shared" si="26"/>
        <v>1385.3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tr">
        <f t="shared" si="21"/>
        <v>Miriam</v>
      </c>
      <c r="B52" s="3"/>
      <c r="C52" s="3"/>
      <c r="D52" s="3"/>
      <c r="E52" s="3"/>
      <c r="F52" s="3"/>
      <c r="G52" s="7">
        <f t="shared" si="22"/>
        <v>0</v>
      </c>
      <c r="H52" s="7">
        <f t="shared" si="23"/>
        <v>0</v>
      </c>
      <c r="I52" s="7">
        <f t="shared" si="24"/>
        <v>0</v>
      </c>
      <c r="J52" s="7">
        <f t="shared" si="25"/>
        <v>0</v>
      </c>
      <c r="K52" s="7">
        <f t="shared" si="26"/>
        <v>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 t="str">
        <f t="shared" si="21"/>
        <v>Kevin</v>
      </c>
      <c r="B53" s="3"/>
      <c r="C53" s="3"/>
      <c r="D53" s="3"/>
      <c r="E53" s="3"/>
      <c r="F53" s="3"/>
      <c r="G53" s="7">
        <f t="shared" si="22"/>
        <v>0</v>
      </c>
      <c r="H53" s="7">
        <f t="shared" si="23"/>
        <v>0</v>
      </c>
      <c r="I53" s="7">
        <f t="shared" si="24"/>
        <v>0</v>
      </c>
      <c r="J53" s="7">
        <f t="shared" si="25"/>
        <v>0</v>
      </c>
      <c r="K53" s="7">
        <f t="shared" si="26"/>
        <v>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 t="str">
        <f t="shared" si="21"/>
        <v/>
      </c>
      <c r="B54" s="3"/>
      <c r="C54" s="3"/>
      <c r="D54" s="3"/>
      <c r="E54" s="3"/>
      <c r="F54" s="3"/>
      <c r="G54" s="7">
        <f t="shared" si="22"/>
        <v>0</v>
      </c>
      <c r="H54" s="7">
        <f t="shared" si="23"/>
        <v>0</v>
      </c>
      <c r="I54" s="7">
        <f t="shared" si="24"/>
        <v>0</v>
      </c>
      <c r="J54" s="7">
        <f t="shared" si="25"/>
        <v>0</v>
      </c>
      <c r="K54" s="7">
        <f t="shared" si="26"/>
        <v>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>
        <f>SUM(B46:B54)</f>
        <v>808.44</v>
      </c>
      <c r="C55" s="3"/>
      <c r="D55" s="7">
        <f t="shared" ref="D55:K55" si="27">SUM(D46:D54)</f>
        <v>3429.64</v>
      </c>
      <c r="E55" s="7">
        <f t="shared" si="27"/>
        <v>3429.64</v>
      </c>
      <c r="F55" s="7">
        <f t="shared" si="27"/>
        <v>1.35</v>
      </c>
      <c r="G55" s="7">
        <f t="shared" si="27"/>
        <v>0</v>
      </c>
      <c r="H55" s="7">
        <f t="shared" si="27"/>
        <v>1.35</v>
      </c>
      <c r="I55" s="7">
        <f t="shared" si="27"/>
        <v>1500</v>
      </c>
      <c r="J55" s="7">
        <f t="shared" si="27"/>
        <v>5738.08</v>
      </c>
      <c r="K55" s="7">
        <f t="shared" si="27"/>
        <v>2308.44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8">
      <c r="A58" s="3" t="s">
        <v>0</v>
      </c>
      <c r="B58" s="12">
        <f>B44+1</f>
        <v>45996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 t="s">
        <v>1</v>
      </c>
      <c r="C59" s="3" t="s">
        <v>2</v>
      </c>
      <c r="D59" s="3" t="s">
        <v>3</v>
      </c>
      <c r="E59" s="3" t="s">
        <v>4</v>
      </c>
      <c r="F59" s="3" t="s">
        <v>5</v>
      </c>
      <c r="G59" s="3" t="s">
        <v>6</v>
      </c>
      <c r="H59" s="3" t="s">
        <v>7</v>
      </c>
      <c r="I59" s="3" t="s">
        <v>8</v>
      </c>
      <c r="J59" s="3" t="s">
        <v>9</v>
      </c>
      <c r="K59" s="3" t="s">
        <v>10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tr">
        <f t="shared" ref="A60:A68" si="28">A46</f>
        <v>Mónica</v>
      </c>
      <c r="B60" s="3"/>
      <c r="C60" s="3"/>
      <c r="D60" s="3"/>
      <c r="E60" s="3"/>
      <c r="F60" s="3"/>
      <c r="G60" s="7">
        <f t="shared" ref="G60:G68" si="29">D60-E60</f>
        <v>0</v>
      </c>
      <c r="H60" s="7">
        <f t="shared" ref="H60:H68" si="30">G60+F60</f>
        <v>0</v>
      </c>
      <c r="I60" s="7">
        <f t="shared" ref="I60:I68" si="31">C60*500</f>
        <v>0</v>
      </c>
      <c r="J60" s="7">
        <f t="shared" ref="J60:J68" si="32">I60+E60+B60</f>
        <v>0</v>
      </c>
      <c r="K60" s="7">
        <f t="shared" ref="K60:K68" si="33">I60+B60</f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tr">
        <f t="shared" si="28"/>
        <v>Dani</v>
      </c>
      <c r="B61" s="7">
        <v>43.05</v>
      </c>
      <c r="C61" s="7">
        <v>2.0</v>
      </c>
      <c r="D61" s="7">
        <v>1740.66</v>
      </c>
      <c r="E61" s="7">
        <v>1740.66</v>
      </c>
      <c r="F61" s="7">
        <v>2.51</v>
      </c>
      <c r="G61" s="7">
        <f t="shared" si="29"/>
        <v>0</v>
      </c>
      <c r="H61" s="7">
        <f t="shared" si="30"/>
        <v>2.51</v>
      </c>
      <c r="I61" s="7">
        <f t="shared" si="31"/>
        <v>1000</v>
      </c>
      <c r="J61" s="7">
        <f t="shared" si="32"/>
        <v>2783.71</v>
      </c>
      <c r="K61" s="7">
        <f t="shared" si="33"/>
        <v>1043.05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tr">
        <f t="shared" si="28"/>
        <v>Sol </v>
      </c>
      <c r="B62" s="7">
        <v>287.32</v>
      </c>
      <c r="C62" s="3"/>
      <c r="D62" s="7">
        <v>261.32</v>
      </c>
      <c r="E62" s="7">
        <v>261.32</v>
      </c>
      <c r="F62" s="7">
        <v>-0.09</v>
      </c>
      <c r="G62" s="7">
        <f t="shared" si="29"/>
        <v>0</v>
      </c>
      <c r="H62" s="7">
        <f t="shared" si="30"/>
        <v>-0.09</v>
      </c>
      <c r="I62" s="7">
        <f t="shared" si="31"/>
        <v>0</v>
      </c>
      <c r="J62" s="7">
        <f t="shared" si="32"/>
        <v>548.64</v>
      </c>
      <c r="K62" s="7">
        <f t="shared" si="33"/>
        <v>287.32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1" t="str">
        <f t="shared" si="28"/>
        <v>Katherine </v>
      </c>
      <c r="B63" s="3"/>
      <c r="C63" s="3"/>
      <c r="D63" s="3"/>
      <c r="E63" s="3"/>
      <c r="F63" s="3"/>
      <c r="G63" s="7">
        <f t="shared" si="29"/>
        <v>0</v>
      </c>
      <c r="H63" s="7">
        <f t="shared" si="30"/>
        <v>0</v>
      </c>
      <c r="I63" s="7">
        <f t="shared" si="31"/>
        <v>0</v>
      </c>
      <c r="J63" s="7">
        <f t="shared" si="32"/>
        <v>0</v>
      </c>
      <c r="K63" s="7">
        <f t="shared" si="33"/>
        <v>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tr">
        <f t="shared" si="28"/>
        <v>Luisa </v>
      </c>
      <c r="B64" s="3"/>
      <c r="C64" s="3"/>
      <c r="D64" s="3"/>
      <c r="E64" s="3"/>
      <c r="F64" s="3"/>
      <c r="G64" s="7">
        <f t="shared" si="29"/>
        <v>0</v>
      </c>
      <c r="H64" s="7">
        <f t="shared" si="30"/>
        <v>0</v>
      </c>
      <c r="I64" s="7">
        <f t="shared" si="31"/>
        <v>0</v>
      </c>
      <c r="J64" s="7">
        <f t="shared" si="32"/>
        <v>0</v>
      </c>
      <c r="K64" s="7">
        <f t="shared" si="33"/>
        <v>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tr">
        <f t="shared" si="28"/>
        <v>Andrea</v>
      </c>
      <c r="B65" s="7">
        <v>518.0</v>
      </c>
      <c r="C65" s="7">
        <v>2.0</v>
      </c>
      <c r="D65" s="7">
        <v>1796.14</v>
      </c>
      <c r="E65" s="7">
        <v>1796.14</v>
      </c>
      <c r="F65" s="7">
        <v>1.43</v>
      </c>
      <c r="G65" s="7">
        <f t="shared" si="29"/>
        <v>0</v>
      </c>
      <c r="H65" s="7">
        <f t="shared" si="30"/>
        <v>1.43</v>
      </c>
      <c r="I65" s="7">
        <f t="shared" si="31"/>
        <v>1000</v>
      </c>
      <c r="J65" s="7">
        <f t="shared" si="32"/>
        <v>3314.14</v>
      </c>
      <c r="K65" s="7">
        <f t="shared" si="33"/>
        <v>1518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tr">
        <f t="shared" si="28"/>
        <v>Miriam</v>
      </c>
      <c r="B66" s="3"/>
      <c r="C66" s="3"/>
      <c r="D66" s="3"/>
      <c r="E66" s="3"/>
      <c r="F66" s="3"/>
      <c r="G66" s="7">
        <f t="shared" si="29"/>
        <v>0</v>
      </c>
      <c r="H66" s="7">
        <f t="shared" si="30"/>
        <v>0</v>
      </c>
      <c r="I66" s="7">
        <f t="shared" si="31"/>
        <v>0</v>
      </c>
      <c r="J66" s="7">
        <f t="shared" si="32"/>
        <v>0</v>
      </c>
      <c r="K66" s="7">
        <f t="shared" si="33"/>
        <v>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 t="str">
        <f t="shared" si="28"/>
        <v>Kevin</v>
      </c>
      <c r="B67" s="7"/>
      <c r="C67" s="7"/>
      <c r="D67" s="7"/>
      <c r="E67" s="7"/>
      <c r="F67" s="7"/>
      <c r="G67" s="7">
        <f t="shared" si="29"/>
        <v>0</v>
      </c>
      <c r="H67" s="7">
        <f t="shared" si="30"/>
        <v>0</v>
      </c>
      <c r="I67" s="7">
        <f t="shared" si="31"/>
        <v>0</v>
      </c>
      <c r="J67" s="7">
        <f t="shared" si="32"/>
        <v>0</v>
      </c>
      <c r="K67" s="7">
        <f t="shared" si="33"/>
        <v>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 t="str">
        <f t="shared" si="28"/>
        <v/>
      </c>
      <c r="B68" s="3"/>
      <c r="C68" s="3"/>
      <c r="D68" s="3"/>
      <c r="E68" s="3"/>
      <c r="F68" s="3"/>
      <c r="G68" s="7">
        <f t="shared" si="29"/>
        <v>0</v>
      </c>
      <c r="H68" s="7">
        <f t="shared" si="30"/>
        <v>0</v>
      </c>
      <c r="I68" s="7">
        <f t="shared" si="31"/>
        <v>0</v>
      </c>
      <c r="J68" s="7">
        <f t="shared" si="32"/>
        <v>0</v>
      </c>
      <c r="K68" s="7">
        <f t="shared" si="33"/>
        <v>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>
        <f>SUM(B60:B68)</f>
        <v>848.37</v>
      </c>
      <c r="C69" s="3"/>
      <c r="D69" s="7">
        <f t="shared" ref="D69:K69" si="34">SUM(D60:D68)</f>
        <v>3798.12</v>
      </c>
      <c r="E69" s="7">
        <f t="shared" si="34"/>
        <v>3798.12</v>
      </c>
      <c r="F69" s="7">
        <f t="shared" si="34"/>
        <v>3.85</v>
      </c>
      <c r="G69" s="7">
        <f t="shared" si="34"/>
        <v>0</v>
      </c>
      <c r="H69" s="7">
        <f t="shared" si="34"/>
        <v>3.85</v>
      </c>
      <c r="I69" s="7">
        <f t="shared" si="34"/>
        <v>2000</v>
      </c>
      <c r="J69" s="7">
        <f t="shared" si="34"/>
        <v>6646.49</v>
      </c>
      <c r="K69" s="7">
        <f t="shared" si="34"/>
        <v>2848.37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2">
      <c r="A72" s="3" t="s">
        <v>0</v>
      </c>
      <c r="B72" s="12">
        <f>B58+1</f>
        <v>45997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 t="s">
        <v>1</v>
      </c>
      <c r="C73" s="3" t="s">
        <v>2</v>
      </c>
      <c r="D73" s="3" t="s">
        <v>3</v>
      </c>
      <c r="E73" s="3" t="s">
        <v>4</v>
      </c>
      <c r="F73" s="3" t="s">
        <v>5</v>
      </c>
      <c r="G73" s="3" t="s">
        <v>6</v>
      </c>
      <c r="H73" s="3" t="s">
        <v>7</v>
      </c>
      <c r="I73" s="3" t="s">
        <v>8</v>
      </c>
      <c r="J73" s="3" t="s">
        <v>9</v>
      </c>
      <c r="K73" s="3" t="s">
        <v>10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tr">
        <f t="shared" ref="A74:A82" si="35">A60</f>
        <v>Mónica</v>
      </c>
      <c r="B74" s="3"/>
      <c r="C74" s="3"/>
      <c r="D74" s="3"/>
      <c r="E74" s="3"/>
      <c r="F74" s="3"/>
      <c r="G74" s="7">
        <f t="shared" ref="G74:G82" si="36">D74-E74</f>
        <v>0</v>
      </c>
      <c r="H74" s="7">
        <f t="shared" ref="H74:H82" si="37">G74+F74</f>
        <v>0</v>
      </c>
      <c r="I74" s="7">
        <f t="shared" ref="I74:I82" si="38">C74*500</f>
        <v>0</v>
      </c>
      <c r="J74" s="7">
        <f t="shared" ref="J74:J82" si="39">I74+E74+B74</f>
        <v>0</v>
      </c>
      <c r="K74" s="7">
        <f t="shared" ref="K74:K82" si="40">I74+B74</f>
        <v>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tr">
        <f t="shared" si="35"/>
        <v>Dani</v>
      </c>
      <c r="B75" s="7">
        <v>372.43</v>
      </c>
      <c r="C75" s="7">
        <v>4.0</v>
      </c>
      <c r="D75" s="7">
        <v>3344.81</v>
      </c>
      <c r="E75" s="7">
        <v>3344.81</v>
      </c>
      <c r="F75" s="7">
        <v>4.67</v>
      </c>
      <c r="G75" s="7">
        <f t="shared" si="36"/>
        <v>0</v>
      </c>
      <c r="H75" s="7">
        <f t="shared" si="37"/>
        <v>4.67</v>
      </c>
      <c r="I75" s="7">
        <f t="shared" si="38"/>
        <v>2000</v>
      </c>
      <c r="J75" s="7">
        <f t="shared" si="39"/>
        <v>5717.24</v>
      </c>
      <c r="K75" s="7">
        <f t="shared" si="40"/>
        <v>2372.43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tr">
        <f t="shared" si="35"/>
        <v>Sol </v>
      </c>
      <c r="B76" s="3"/>
      <c r="C76" s="3"/>
      <c r="D76" s="3"/>
      <c r="E76" s="3"/>
      <c r="F76" s="3"/>
      <c r="G76" s="7">
        <f t="shared" si="36"/>
        <v>0</v>
      </c>
      <c r="H76" s="7">
        <f t="shared" si="37"/>
        <v>0</v>
      </c>
      <c r="I76" s="7">
        <f t="shared" si="38"/>
        <v>0</v>
      </c>
      <c r="J76" s="7">
        <f t="shared" si="39"/>
        <v>0</v>
      </c>
      <c r="K76" s="7">
        <f t="shared" si="40"/>
        <v>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1" t="str">
        <f t="shared" si="35"/>
        <v>Katherine </v>
      </c>
      <c r="B77" s="7">
        <v>102.21</v>
      </c>
      <c r="C77" s="7">
        <v>0.0</v>
      </c>
      <c r="D77" s="7">
        <v>174.06</v>
      </c>
      <c r="E77" s="7">
        <v>174.06</v>
      </c>
      <c r="F77" s="7">
        <v>-5.55</v>
      </c>
      <c r="G77" s="7">
        <f t="shared" si="36"/>
        <v>0</v>
      </c>
      <c r="H77" s="7">
        <f t="shared" si="37"/>
        <v>-5.55</v>
      </c>
      <c r="I77" s="7">
        <f t="shared" si="38"/>
        <v>0</v>
      </c>
      <c r="J77" s="7">
        <f t="shared" si="39"/>
        <v>276.27</v>
      </c>
      <c r="K77" s="7">
        <f t="shared" si="40"/>
        <v>102.21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" t="str">
        <f t="shared" si="35"/>
        <v>Luisa </v>
      </c>
      <c r="B78" s="3"/>
      <c r="C78" s="3"/>
      <c r="D78" s="3"/>
      <c r="E78" s="3"/>
      <c r="F78" s="3"/>
      <c r="G78" s="7">
        <f t="shared" si="36"/>
        <v>0</v>
      </c>
      <c r="H78" s="7">
        <f t="shared" si="37"/>
        <v>0</v>
      </c>
      <c r="I78" s="7">
        <f t="shared" si="38"/>
        <v>0</v>
      </c>
      <c r="J78" s="7">
        <f t="shared" si="39"/>
        <v>0</v>
      </c>
      <c r="K78" s="7">
        <f t="shared" si="40"/>
        <v>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" t="str">
        <f t="shared" si="35"/>
        <v>Andrea</v>
      </c>
      <c r="B79" s="3"/>
      <c r="C79" s="3"/>
      <c r="D79" s="3"/>
      <c r="E79" s="3"/>
      <c r="F79" s="3"/>
      <c r="G79" s="7">
        <f t="shared" si="36"/>
        <v>0</v>
      </c>
      <c r="H79" s="7">
        <f t="shared" si="37"/>
        <v>0</v>
      </c>
      <c r="I79" s="7">
        <f t="shared" si="38"/>
        <v>0</v>
      </c>
      <c r="J79" s="7">
        <f t="shared" si="39"/>
        <v>0</v>
      </c>
      <c r="K79" s="7">
        <f t="shared" si="40"/>
        <v>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" t="str">
        <f t="shared" si="35"/>
        <v>Miriam</v>
      </c>
      <c r="B80" s="3"/>
      <c r="C80" s="3"/>
      <c r="D80" s="3"/>
      <c r="E80" s="3"/>
      <c r="F80" s="3"/>
      <c r="G80" s="7">
        <f t="shared" si="36"/>
        <v>0</v>
      </c>
      <c r="H80" s="7">
        <f t="shared" si="37"/>
        <v>0</v>
      </c>
      <c r="I80" s="7">
        <f t="shared" si="38"/>
        <v>0</v>
      </c>
      <c r="J80" s="7">
        <f t="shared" si="39"/>
        <v>0</v>
      </c>
      <c r="K80" s="7">
        <f t="shared" si="40"/>
        <v>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 t="str">
        <f t="shared" si="35"/>
        <v>Kevin</v>
      </c>
      <c r="B81" s="7"/>
      <c r="C81" s="7"/>
      <c r="D81" s="7"/>
      <c r="E81" s="7"/>
      <c r="F81" s="7"/>
      <c r="G81" s="7">
        <f t="shared" si="36"/>
        <v>0</v>
      </c>
      <c r="H81" s="7">
        <f t="shared" si="37"/>
        <v>0</v>
      </c>
      <c r="I81" s="7">
        <f t="shared" si="38"/>
        <v>0</v>
      </c>
      <c r="J81" s="7">
        <f t="shared" si="39"/>
        <v>0</v>
      </c>
      <c r="K81" s="7">
        <f t="shared" si="40"/>
        <v>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 t="str">
        <f t="shared" si="35"/>
        <v/>
      </c>
      <c r="B82" s="3"/>
      <c r="C82" s="3"/>
      <c r="D82" s="3"/>
      <c r="E82" s="3"/>
      <c r="F82" s="3"/>
      <c r="G82" s="7">
        <f t="shared" si="36"/>
        <v>0</v>
      </c>
      <c r="H82" s="7">
        <f t="shared" si="37"/>
        <v>0</v>
      </c>
      <c r="I82" s="7">
        <f t="shared" si="38"/>
        <v>0</v>
      </c>
      <c r="J82" s="7">
        <f t="shared" si="39"/>
        <v>0</v>
      </c>
      <c r="K82" s="7">
        <f t="shared" si="40"/>
        <v>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>
        <f>SUM(B74:B82)</f>
        <v>474.64</v>
      </c>
      <c r="C83" s="3"/>
      <c r="D83" s="7">
        <f t="shared" ref="D83:K83" si="41">SUM(D74:D82)</f>
        <v>3518.87</v>
      </c>
      <c r="E83" s="7">
        <f t="shared" si="41"/>
        <v>3518.87</v>
      </c>
      <c r="F83" s="7">
        <f t="shared" si="41"/>
        <v>-0.88</v>
      </c>
      <c r="G83" s="7">
        <f t="shared" si="41"/>
        <v>0</v>
      </c>
      <c r="H83" s="7">
        <f t="shared" si="41"/>
        <v>-0.88</v>
      </c>
      <c r="I83" s="7">
        <f t="shared" si="41"/>
        <v>2000</v>
      </c>
      <c r="J83" s="7">
        <f t="shared" si="41"/>
        <v>5993.51</v>
      </c>
      <c r="K83" s="7">
        <f t="shared" si="41"/>
        <v>2474.64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6">
      <c r="A86" s="3" t="s">
        <v>0</v>
      </c>
      <c r="B86" s="12">
        <f>B72+1</f>
        <v>45998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 t="s">
        <v>1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7</v>
      </c>
      <c r="I87" s="3" t="s">
        <v>8</v>
      </c>
      <c r="J87" s="3" t="s">
        <v>9</v>
      </c>
      <c r="K87" s="3" t="s">
        <v>10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tr">
        <f t="shared" ref="A88:A96" si="42">A74</f>
        <v>Mónica</v>
      </c>
      <c r="B88" s="11">
        <v>474.64</v>
      </c>
      <c r="C88" s="11">
        <v>4.0</v>
      </c>
      <c r="D88" s="11">
        <v>3518.87</v>
      </c>
      <c r="E88" s="11">
        <v>3515.87</v>
      </c>
      <c r="F88" s="3"/>
      <c r="G88" s="7">
        <f t="shared" ref="G88:G96" si="43">D88-E88</f>
        <v>3</v>
      </c>
      <c r="H88" s="7">
        <f t="shared" ref="H88:H96" si="44">G88+F88</f>
        <v>3</v>
      </c>
      <c r="I88" s="7">
        <f t="shared" ref="I88:I96" si="45">C88*500</f>
        <v>2000</v>
      </c>
      <c r="J88" s="7">
        <f t="shared" ref="J88:J96" si="46">I88+E88+B88</f>
        <v>5990.51</v>
      </c>
      <c r="K88" s="7">
        <f t="shared" ref="K88:K96" si="47">I88+B88</f>
        <v>2474.64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tr">
        <f t="shared" si="42"/>
        <v>Dani</v>
      </c>
      <c r="B89" s="11"/>
      <c r="C89" s="11"/>
      <c r="D89" s="11"/>
      <c r="E89" s="11"/>
      <c r="F89" s="3"/>
      <c r="G89" s="7">
        <f t="shared" si="43"/>
        <v>0</v>
      </c>
      <c r="H89" s="7">
        <f t="shared" si="44"/>
        <v>0</v>
      </c>
      <c r="I89" s="7">
        <f t="shared" si="45"/>
        <v>0</v>
      </c>
      <c r="J89" s="7">
        <f t="shared" si="46"/>
        <v>0</v>
      </c>
      <c r="K89" s="7">
        <f t="shared" si="47"/>
        <v>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tr">
        <f t="shared" si="42"/>
        <v>Sol </v>
      </c>
      <c r="B90" s="7"/>
      <c r="C90" s="3"/>
      <c r="D90" s="7"/>
      <c r="E90" s="7"/>
      <c r="F90" s="7"/>
      <c r="G90" s="7">
        <f t="shared" si="43"/>
        <v>0</v>
      </c>
      <c r="H90" s="7">
        <f t="shared" si="44"/>
        <v>0</v>
      </c>
      <c r="I90" s="7">
        <f t="shared" si="45"/>
        <v>0</v>
      </c>
      <c r="J90" s="7">
        <f t="shared" si="46"/>
        <v>0</v>
      </c>
      <c r="K90" s="7">
        <f t="shared" si="47"/>
        <v>0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1" t="str">
        <f t="shared" si="42"/>
        <v>Katherine </v>
      </c>
      <c r="B91" s="7"/>
      <c r="C91" s="7"/>
      <c r="D91" s="7"/>
      <c r="E91" s="7"/>
      <c r="F91" s="7"/>
      <c r="G91" s="7">
        <f t="shared" si="43"/>
        <v>0</v>
      </c>
      <c r="H91" s="7">
        <f t="shared" si="44"/>
        <v>0</v>
      </c>
      <c r="I91" s="7">
        <f t="shared" si="45"/>
        <v>0</v>
      </c>
      <c r="J91" s="7">
        <f t="shared" si="46"/>
        <v>0</v>
      </c>
      <c r="K91" s="7">
        <f t="shared" si="47"/>
        <v>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1" t="str">
        <f t="shared" si="42"/>
        <v>Luisa </v>
      </c>
      <c r="B92" s="11"/>
      <c r="C92" s="3"/>
      <c r="D92" s="11"/>
      <c r="E92" s="11"/>
      <c r="F92" s="3"/>
      <c r="G92" s="7">
        <f t="shared" si="43"/>
        <v>0</v>
      </c>
      <c r="H92" s="7">
        <f t="shared" si="44"/>
        <v>0</v>
      </c>
      <c r="I92" s="7">
        <f t="shared" si="45"/>
        <v>0</v>
      </c>
      <c r="J92" s="7">
        <f t="shared" si="46"/>
        <v>0</v>
      </c>
      <c r="K92" s="7">
        <f t="shared" si="47"/>
        <v>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1" t="str">
        <f t="shared" si="42"/>
        <v>Andrea</v>
      </c>
      <c r="B93" s="7"/>
      <c r="C93" s="7"/>
      <c r="D93" s="7"/>
      <c r="E93" s="7"/>
      <c r="F93" s="7"/>
      <c r="G93" s="7">
        <f t="shared" si="43"/>
        <v>0</v>
      </c>
      <c r="H93" s="7">
        <f t="shared" si="44"/>
        <v>0</v>
      </c>
      <c r="I93" s="7">
        <f t="shared" si="45"/>
        <v>0</v>
      </c>
      <c r="J93" s="7">
        <f t="shared" si="46"/>
        <v>0</v>
      </c>
      <c r="K93" s="7">
        <f t="shared" si="47"/>
        <v>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1" t="str">
        <f t="shared" si="42"/>
        <v>Miriam</v>
      </c>
      <c r="B94" s="3"/>
      <c r="C94" s="3"/>
      <c r="D94" s="3"/>
      <c r="E94" s="3"/>
      <c r="F94" s="3"/>
      <c r="G94" s="7">
        <f t="shared" si="43"/>
        <v>0</v>
      </c>
      <c r="H94" s="7">
        <f t="shared" si="44"/>
        <v>0</v>
      </c>
      <c r="I94" s="7">
        <f t="shared" si="45"/>
        <v>0</v>
      </c>
      <c r="J94" s="7">
        <f t="shared" si="46"/>
        <v>0</v>
      </c>
      <c r="K94" s="7">
        <f t="shared" si="47"/>
        <v>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 t="str">
        <f t="shared" si="42"/>
        <v>Kevin</v>
      </c>
      <c r="B95" s="3"/>
      <c r="C95" s="3"/>
      <c r="D95" s="3"/>
      <c r="E95" s="3"/>
      <c r="F95" s="3"/>
      <c r="G95" s="7">
        <f t="shared" si="43"/>
        <v>0</v>
      </c>
      <c r="H95" s="7">
        <f t="shared" si="44"/>
        <v>0</v>
      </c>
      <c r="I95" s="7">
        <f t="shared" si="45"/>
        <v>0</v>
      </c>
      <c r="J95" s="7">
        <f t="shared" si="46"/>
        <v>0</v>
      </c>
      <c r="K95" s="7">
        <f t="shared" si="47"/>
        <v>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 t="str">
        <f t="shared" si="42"/>
        <v/>
      </c>
      <c r="B96" s="3"/>
      <c r="C96" s="3"/>
      <c r="D96" s="3"/>
      <c r="E96" s="3"/>
      <c r="F96" s="3"/>
      <c r="G96" s="7">
        <f t="shared" si="43"/>
        <v>0</v>
      </c>
      <c r="H96" s="7">
        <f t="shared" si="44"/>
        <v>0</v>
      </c>
      <c r="I96" s="7">
        <f t="shared" si="45"/>
        <v>0</v>
      </c>
      <c r="J96" s="7">
        <f t="shared" si="46"/>
        <v>0</v>
      </c>
      <c r="K96" s="7">
        <f t="shared" si="47"/>
        <v>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>
        <f>SUM(B88:B96)</f>
        <v>474.64</v>
      </c>
      <c r="C97" s="3"/>
      <c r="D97" s="7">
        <f t="shared" ref="D97:K97" si="48">SUM(D88:D96)</f>
        <v>3518.87</v>
      </c>
      <c r="E97" s="7">
        <f t="shared" si="48"/>
        <v>3515.87</v>
      </c>
      <c r="F97" s="7">
        <f t="shared" si="48"/>
        <v>0</v>
      </c>
      <c r="G97" s="7">
        <f t="shared" si="48"/>
        <v>3</v>
      </c>
      <c r="H97" s="7">
        <f t="shared" si="48"/>
        <v>3</v>
      </c>
      <c r="I97" s="7">
        <f t="shared" si="48"/>
        <v>2000</v>
      </c>
      <c r="J97" s="7">
        <f t="shared" si="48"/>
        <v>5990.51</v>
      </c>
      <c r="K97" s="7">
        <f t="shared" si="48"/>
        <v>2474.64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100">
      <c r="A100" s="3" t="s">
        <v>0</v>
      </c>
      <c r="B100" s="12">
        <f>B86+1</f>
        <v>45999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3" t="s">
        <v>6</v>
      </c>
      <c r="H101" s="3" t="s">
        <v>7</v>
      </c>
      <c r="I101" s="3" t="s">
        <v>8</v>
      </c>
      <c r="J101" s="3" t="s">
        <v>9</v>
      </c>
      <c r="K101" s="3" t="s">
        <v>10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tr">
        <f t="shared" ref="A102:A110" si="49">A88</f>
        <v>Mónica</v>
      </c>
      <c r="B102" s="15">
        <v>14.63</v>
      </c>
      <c r="C102" s="15">
        <v>7.0</v>
      </c>
      <c r="D102" s="15">
        <v>4440.43</v>
      </c>
      <c r="E102" s="15">
        <v>4440.43</v>
      </c>
      <c r="F102" s="7"/>
      <c r="G102" s="7">
        <f t="shared" ref="G102:G110" si="50">D102-E102</f>
        <v>0</v>
      </c>
      <c r="H102" s="7">
        <f t="shared" ref="H102:H110" si="51">G102+F102</f>
        <v>0</v>
      </c>
      <c r="I102" s="7">
        <f t="shared" ref="I102:I110" si="52">C102*500</f>
        <v>3500</v>
      </c>
      <c r="J102" s="7">
        <f t="shared" ref="J102:J110" si="53">I102+E102+B102</f>
        <v>7955.06</v>
      </c>
      <c r="K102" s="7">
        <f t="shared" ref="K102:K110" si="54">I102+B102</f>
        <v>3514.63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tr">
        <f t="shared" si="49"/>
        <v>Dani</v>
      </c>
      <c r="B103" s="7"/>
      <c r="C103" s="7"/>
      <c r="D103" s="7"/>
      <c r="E103" s="7"/>
      <c r="F103" s="7"/>
      <c r="G103" s="7">
        <f t="shared" si="50"/>
        <v>0</v>
      </c>
      <c r="H103" s="7">
        <f t="shared" si="51"/>
        <v>0</v>
      </c>
      <c r="I103" s="7">
        <f t="shared" si="52"/>
        <v>0</v>
      </c>
      <c r="J103" s="7">
        <f t="shared" si="53"/>
        <v>0</v>
      </c>
      <c r="K103" s="7">
        <f t="shared" si="54"/>
        <v>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tr">
        <f t="shared" si="49"/>
        <v>Sol </v>
      </c>
      <c r="B104" s="7"/>
      <c r="C104" s="3"/>
      <c r="D104" s="7"/>
      <c r="E104" s="7"/>
      <c r="F104" s="7"/>
      <c r="G104" s="7">
        <f t="shared" si="50"/>
        <v>0</v>
      </c>
      <c r="H104" s="7">
        <f t="shared" si="51"/>
        <v>0</v>
      </c>
      <c r="I104" s="7">
        <f t="shared" si="52"/>
        <v>0</v>
      </c>
      <c r="J104" s="7">
        <f t="shared" si="53"/>
        <v>0</v>
      </c>
      <c r="K104" s="7">
        <f t="shared" si="54"/>
        <v>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tr">
        <f t="shared" si="49"/>
        <v>Katherine </v>
      </c>
      <c r="B105" s="3"/>
      <c r="C105" s="3"/>
      <c r="D105" s="3"/>
      <c r="E105" s="3"/>
      <c r="F105" s="3"/>
      <c r="G105" s="7">
        <f t="shared" si="50"/>
        <v>0</v>
      </c>
      <c r="H105" s="7">
        <f t="shared" si="51"/>
        <v>0</v>
      </c>
      <c r="I105" s="7">
        <f t="shared" si="52"/>
        <v>0</v>
      </c>
      <c r="J105" s="7">
        <f t="shared" si="53"/>
        <v>0</v>
      </c>
      <c r="K105" s="7">
        <f t="shared" si="54"/>
        <v>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tr">
        <f t="shared" si="49"/>
        <v>Luisa </v>
      </c>
      <c r="B106" s="3"/>
      <c r="C106" s="3"/>
      <c r="D106" s="3"/>
      <c r="E106" s="3"/>
      <c r="F106" s="3"/>
      <c r="G106" s="7">
        <f t="shared" si="50"/>
        <v>0</v>
      </c>
      <c r="H106" s="7">
        <f t="shared" si="51"/>
        <v>0</v>
      </c>
      <c r="I106" s="7">
        <f t="shared" si="52"/>
        <v>0</v>
      </c>
      <c r="J106" s="7">
        <f t="shared" si="53"/>
        <v>0</v>
      </c>
      <c r="K106" s="7">
        <f t="shared" si="54"/>
        <v>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tr">
        <f t="shared" si="49"/>
        <v>Andrea</v>
      </c>
      <c r="B107" s="7"/>
      <c r="C107" s="7"/>
      <c r="D107" s="7"/>
      <c r="E107" s="7"/>
      <c r="F107" s="7"/>
      <c r="G107" s="7">
        <f t="shared" si="50"/>
        <v>0</v>
      </c>
      <c r="H107" s="7">
        <f t="shared" si="51"/>
        <v>0</v>
      </c>
      <c r="I107" s="7">
        <f t="shared" si="52"/>
        <v>0</v>
      </c>
      <c r="J107" s="7">
        <f t="shared" si="53"/>
        <v>0</v>
      </c>
      <c r="K107" s="7">
        <f t="shared" si="54"/>
        <v>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tr">
        <f t="shared" si="49"/>
        <v>Miriam</v>
      </c>
      <c r="B108" s="7"/>
      <c r="C108" s="3"/>
      <c r="D108" s="7"/>
      <c r="E108" s="7"/>
      <c r="F108" s="7"/>
      <c r="G108" s="7">
        <f t="shared" si="50"/>
        <v>0</v>
      </c>
      <c r="H108" s="7">
        <f t="shared" si="51"/>
        <v>0</v>
      </c>
      <c r="I108" s="7">
        <f t="shared" si="52"/>
        <v>0</v>
      </c>
      <c r="J108" s="7">
        <f t="shared" si="53"/>
        <v>0</v>
      </c>
      <c r="K108" s="7">
        <f t="shared" si="54"/>
        <v>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 t="str">
        <f t="shared" si="49"/>
        <v>Kevin</v>
      </c>
      <c r="B109" s="3"/>
      <c r="C109" s="3"/>
      <c r="D109" s="3"/>
      <c r="E109" s="3"/>
      <c r="F109" s="3"/>
      <c r="G109" s="7">
        <f t="shared" si="50"/>
        <v>0</v>
      </c>
      <c r="H109" s="7">
        <f t="shared" si="51"/>
        <v>0</v>
      </c>
      <c r="I109" s="7">
        <f t="shared" si="52"/>
        <v>0</v>
      </c>
      <c r="J109" s="7">
        <f t="shared" si="53"/>
        <v>0</v>
      </c>
      <c r="K109" s="7">
        <f t="shared" si="54"/>
        <v>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 t="str">
        <f t="shared" si="49"/>
        <v/>
      </c>
      <c r="B110" s="3"/>
      <c r="C110" s="3"/>
      <c r="D110" s="3"/>
      <c r="E110" s="3"/>
      <c r="F110" s="3"/>
      <c r="G110" s="7">
        <f t="shared" si="50"/>
        <v>0</v>
      </c>
      <c r="H110" s="7">
        <f t="shared" si="51"/>
        <v>0</v>
      </c>
      <c r="I110" s="7">
        <f t="shared" si="52"/>
        <v>0</v>
      </c>
      <c r="J110" s="7">
        <f t="shared" si="53"/>
        <v>0</v>
      </c>
      <c r="K110" s="7">
        <f t="shared" si="54"/>
        <v>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>
        <f>SUM(B102:B110)</f>
        <v>14.63</v>
      </c>
      <c r="C111" s="3"/>
      <c r="D111" s="7">
        <f t="shared" ref="D111:K111" si="55">SUM(D102:D110)</f>
        <v>4440.43</v>
      </c>
      <c r="E111" s="7">
        <f t="shared" si="55"/>
        <v>4440.43</v>
      </c>
      <c r="F111" s="7">
        <f t="shared" si="55"/>
        <v>0</v>
      </c>
      <c r="G111" s="7">
        <f t="shared" si="55"/>
        <v>0</v>
      </c>
      <c r="H111" s="7">
        <f t="shared" si="55"/>
        <v>0</v>
      </c>
      <c r="I111" s="7">
        <f t="shared" si="55"/>
        <v>3500</v>
      </c>
      <c r="J111" s="7">
        <f t="shared" si="55"/>
        <v>7955.06</v>
      </c>
      <c r="K111" s="7">
        <f t="shared" si="55"/>
        <v>3514.63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4">
      <c r="A114" s="3" t="s">
        <v>0</v>
      </c>
      <c r="B114" s="12">
        <f>B100+1</f>
        <v>46000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 t="s">
        <v>1</v>
      </c>
      <c r="C115" s="3" t="s">
        <v>2</v>
      </c>
      <c r="D115" s="3" t="s">
        <v>3</v>
      </c>
      <c r="E115" s="3" t="s">
        <v>4</v>
      </c>
      <c r="F115" s="3" t="s">
        <v>5</v>
      </c>
      <c r="G115" s="3" t="s">
        <v>6</v>
      </c>
      <c r="H115" s="3" t="s">
        <v>7</v>
      </c>
      <c r="I115" s="3" t="s">
        <v>8</v>
      </c>
      <c r="J115" s="3" t="s">
        <v>9</v>
      </c>
      <c r="K115" s="3" t="s">
        <v>10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tr">
        <f t="shared" ref="A116:A124" si="56">A102</f>
        <v>Mónica</v>
      </c>
      <c r="B116" s="3"/>
      <c r="C116" s="3"/>
      <c r="D116" s="3"/>
      <c r="E116" s="3"/>
      <c r="F116" s="7">
        <v>2.07</v>
      </c>
      <c r="G116" s="7">
        <f t="shared" ref="G116:G124" si="57">D116-E116</f>
        <v>0</v>
      </c>
      <c r="H116" s="7">
        <f t="shared" ref="H116:H124" si="58">G116+F116</f>
        <v>2.07</v>
      </c>
      <c r="I116" s="7">
        <f t="shared" ref="I116:I124" si="59">C116*500</f>
        <v>0</v>
      </c>
      <c r="J116" s="7">
        <f t="shared" ref="J116:J124" si="60">I116+E116+B116</f>
        <v>0</v>
      </c>
      <c r="K116" s="7">
        <f t="shared" ref="K116:K124" si="61">I116+B116</f>
        <v>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tr">
        <f t="shared" si="56"/>
        <v>Dani</v>
      </c>
      <c r="B117" s="7">
        <v>3.44</v>
      </c>
      <c r="C117" s="7">
        <v>3.0</v>
      </c>
      <c r="D117" s="7">
        <v>2248.65</v>
      </c>
      <c r="E117" s="7">
        <v>2248.65</v>
      </c>
      <c r="F117" s="3"/>
      <c r="G117" s="7">
        <f t="shared" si="57"/>
        <v>0</v>
      </c>
      <c r="H117" s="7">
        <f t="shared" si="58"/>
        <v>0</v>
      </c>
      <c r="I117" s="7">
        <f t="shared" si="59"/>
        <v>1500</v>
      </c>
      <c r="J117" s="7">
        <f t="shared" si="60"/>
        <v>3752.09</v>
      </c>
      <c r="K117" s="7">
        <f t="shared" si="61"/>
        <v>1503.44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tr">
        <f t="shared" si="56"/>
        <v>Sol </v>
      </c>
      <c r="B118" s="7">
        <v>44.74</v>
      </c>
      <c r="C118" s="3"/>
      <c r="D118" s="7">
        <v>54.36</v>
      </c>
      <c r="E118" s="7">
        <v>54.36</v>
      </c>
      <c r="F118" s="3"/>
      <c r="G118" s="7">
        <f t="shared" si="57"/>
        <v>0</v>
      </c>
      <c r="H118" s="7">
        <f t="shared" si="58"/>
        <v>0</v>
      </c>
      <c r="I118" s="7">
        <f t="shared" si="59"/>
        <v>0</v>
      </c>
      <c r="J118" s="7">
        <f t="shared" si="60"/>
        <v>99.1</v>
      </c>
      <c r="K118" s="7">
        <f t="shared" si="61"/>
        <v>44.74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1" t="str">
        <f t="shared" si="56"/>
        <v>Katherine </v>
      </c>
      <c r="B119" s="3"/>
      <c r="C119" s="3"/>
      <c r="D119" s="3"/>
      <c r="E119" s="3"/>
      <c r="F119" s="3"/>
      <c r="G119" s="7">
        <f t="shared" si="57"/>
        <v>0</v>
      </c>
      <c r="H119" s="7">
        <f t="shared" si="58"/>
        <v>0</v>
      </c>
      <c r="I119" s="7">
        <f t="shared" si="59"/>
        <v>0</v>
      </c>
      <c r="J119" s="7">
        <f t="shared" si="60"/>
        <v>0</v>
      </c>
      <c r="K119" s="7">
        <f t="shared" si="61"/>
        <v>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1" t="str">
        <f t="shared" si="56"/>
        <v>Luisa </v>
      </c>
      <c r="B120" s="3"/>
      <c r="C120" s="3"/>
      <c r="D120" s="3"/>
      <c r="E120" s="3"/>
      <c r="F120" s="3"/>
      <c r="G120" s="7">
        <f t="shared" si="57"/>
        <v>0</v>
      </c>
      <c r="H120" s="7">
        <f t="shared" si="58"/>
        <v>0</v>
      </c>
      <c r="I120" s="7">
        <f t="shared" si="59"/>
        <v>0</v>
      </c>
      <c r="J120" s="7">
        <f t="shared" si="60"/>
        <v>0</v>
      </c>
      <c r="K120" s="7">
        <f t="shared" si="61"/>
        <v>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1" t="str">
        <f t="shared" si="56"/>
        <v>Andrea</v>
      </c>
      <c r="B121" s="7">
        <v>69.15</v>
      </c>
      <c r="C121" s="7">
        <v>3.0</v>
      </c>
      <c r="D121" s="7">
        <v>1659.82</v>
      </c>
      <c r="E121" s="7">
        <v>1659.82</v>
      </c>
      <c r="F121" s="7">
        <v>-2.6</v>
      </c>
      <c r="G121" s="7">
        <f t="shared" si="57"/>
        <v>0</v>
      </c>
      <c r="H121" s="7">
        <f t="shared" si="58"/>
        <v>-2.6</v>
      </c>
      <c r="I121" s="7">
        <f t="shared" si="59"/>
        <v>1500</v>
      </c>
      <c r="J121" s="7">
        <f t="shared" si="60"/>
        <v>3228.97</v>
      </c>
      <c r="K121" s="7">
        <f t="shared" si="61"/>
        <v>1569.15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" t="str">
        <f t="shared" si="56"/>
        <v>Miriam</v>
      </c>
      <c r="B122" s="3"/>
      <c r="C122" s="3"/>
      <c r="D122" s="3"/>
      <c r="E122" s="3"/>
      <c r="F122" s="3"/>
      <c r="G122" s="7">
        <f t="shared" si="57"/>
        <v>0</v>
      </c>
      <c r="H122" s="7">
        <f t="shared" si="58"/>
        <v>0</v>
      </c>
      <c r="I122" s="7">
        <f t="shared" si="59"/>
        <v>0</v>
      </c>
      <c r="J122" s="7">
        <f t="shared" si="60"/>
        <v>0</v>
      </c>
      <c r="K122" s="7">
        <f t="shared" si="61"/>
        <v>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 t="str">
        <f t="shared" si="56"/>
        <v>Kevin</v>
      </c>
      <c r="B123" s="3"/>
      <c r="C123" s="3"/>
      <c r="D123" s="3"/>
      <c r="E123" s="3"/>
      <c r="F123" s="3"/>
      <c r="G123" s="7">
        <f t="shared" si="57"/>
        <v>0</v>
      </c>
      <c r="H123" s="7">
        <f t="shared" si="58"/>
        <v>0</v>
      </c>
      <c r="I123" s="7">
        <f t="shared" si="59"/>
        <v>0</v>
      </c>
      <c r="J123" s="7">
        <f t="shared" si="60"/>
        <v>0</v>
      </c>
      <c r="K123" s="7">
        <f t="shared" si="61"/>
        <v>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 t="str">
        <f t="shared" si="56"/>
        <v/>
      </c>
      <c r="B124" s="3"/>
      <c r="C124" s="3"/>
      <c r="D124" s="3"/>
      <c r="E124" s="3"/>
      <c r="F124" s="3"/>
      <c r="G124" s="7">
        <f t="shared" si="57"/>
        <v>0</v>
      </c>
      <c r="H124" s="7">
        <f t="shared" si="58"/>
        <v>0</v>
      </c>
      <c r="I124" s="7">
        <f t="shared" si="59"/>
        <v>0</v>
      </c>
      <c r="J124" s="7">
        <f t="shared" si="60"/>
        <v>0</v>
      </c>
      <c r="K124" s="7">
        <f t="shared" si="61"/>
        <v>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>
        <f>SUM(B116:B124)</f>
        <v>117.33</v>
      </c>
      <c r="C125" s="3"/>
      <c r="D125" s="7">
        <f t="shared" ref="D125:K125" si="62">SUM(D116:D124)</f>
        <v>3962.83</v>
      </c>
      <c r="E125" s="7">
        <f t="shared" si="62"/>
        <v>3962.83</v>
      </c>
      <c r="F125" s="7">
        <f t="shared" si="62"/>
        <v>-0.53</v>
      </c>
      <c r="G125" s="7">
        <f t="shared" si="62"/>
        <v>0</v>
      </c>
      <c r="H125" s="7">
        <f t="shared" si="62"/>
        <v>-0.53</v>
      </c>
      <c r="I125" s="7">
        <f t="shared" si="62"/>
        <v>3000</v>
      </c>
      <c r="J125" s="7">
        <f t="shared" si="62"/>
        <v>7080.16</v>
      </c>
      <c r="K125" s="7">
        <f t="shared" si="62"/>
        <v>3117.33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8">
      <c r="A128" s="3" t="s">
        <v>0</v>
      </c>
      <c r="B128" s="12">
        <f>B114+1</f>
        <v>46001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 t="s">
        <v>1</v>
      </c>
      <c r="C129" s="3" t="s">
        <v>2</v>
      </c>
      <c r="D129" s="3" t="s">
        <v>3</v>
      </c>
      <c r="E129" s="3" t="s">
        <v>4</v>
      </c>
      <c r="F129" s="3" t="s">
        <v>5</v>
      </c>
      <c r="G129" s="3" t="s">
        <v>6</v>
      </c>
      <c r="H129" s="3" t="s">
        <v>7</v>
      </c>
      <c r="I129" s="3" t="s">
        <v>8</v>
      </c>
      <c r="J129" s="3" t="s">
        <v>9</v>
      </c>
      <c r="K129" s="3" t="s">
        <v>10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tr">
        <f t="shared" ref="A130:A138" si="63">A116</f>
        <v>Mónica</v>
      </c>
      <c r="B130" s="3"/>
      <c r="C130" s="3"/>
      <c r="D130" s="3"/>
      <c r="E130" s="3"/>
      <c r="F130" s="3"/>
      <c r="G130" s="7">
        <f t="shared" ref="G130:G138" si="64">D130-E130</f>
        <v>0</v>
      </c>
      <c r="H130" s="7">
        <f t="shared" ref="H130:H138" si="65">G130+F130</f>
        <v>0</v>
      </c>
      <c r="I130" s="7">
        <f t="shared" ref="I130:I138" si="66">C130*500</f>
        <v>0</v>
      </c>
      <c r="J130" s="7">
        <f t="shared" ref="J130:J138" si="67">I130+E130+B130</f>
        <v>0</v>
      </c>
      <c r="K130" s="7">
        <f t="shared" ref="K130:K138" si="68">I130+B130</f>
        <v>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tr">
        <f t="shared" si="63"/>
        <v>Dani</v>
      </c>
      <c r="B131" s="7">
        <v>499.01</v>
      </c>
      <c r="C131" s="7">
        <v>1.0</v>
      </c>
      <c r="D131" s="7">
        <v>2078.39</v>
      </c>
      <c r="E131" s="7">
        <v>2078.39</v>
      </c>
      <c r="F131" s="7">
        <v>1.77</v>
      </c>
      <c r="G131" s="7">
        <f t="shared" si="64"/>
        <v>0</v>
      </c>
      <c r="H131" s="7">
        <f t="shared" si="65"/>
        <v>1.77</v>
      </c>
      <c r="I131" s="7">
        <f t="shared" si="66"/>
        <v>500</v>
      </c>
      <c r="J131" s="7">
        <f t="shared" si="67"/>
        <v>3077.4</v>
      </c>
      <c r="K131" s="7">
        <f t="shared" si="68"/>
        <v>999.01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tr">
        <f t="shared" si="63"/>
        <v>Sol </v>
      </c>
      <c r="B132" s="7">
        <v>82.81</v>
      </c>
      <c r="C132" s="3"/>
      <c r="D132" s="7">
        <v>117.5</v>
      </c>
      <c r="E132" s="7">
        <v>117.5</v>
      </c>
      <c r="F132" s="7">
        <v>-0.11</v>
      </c>
      <c r="G132" s="7">
        <f t="shared" si="64"/>
        <v>0</v>
      </c>
      <c r="H132" s="7">
        <f t="shared" si="65"/>
        <v>-0.11</v>
      </c>
      <c r="I132" s="7">
        <f t="shared" si="66"/>
        <v>0</v>
      </c>
      <c r="J132" s="7">
        <f t="shared" si="67"/>
        <v>200.31</v>
      </c>
      <c r="K132" s="7">
        <f t="shared" si="68"/>
        <v>82.81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tr">
        <f t="shared" si="63"/>
        <v>Katherine </v>
      </c>
      <c r="B133" s="3"/>
      <c r="C133" s="3"/>
      <c r="D133" s="3"/>
      <c r="E133" s="3"/>
      <c r="F133" s="3"/>
      <c r="G133" s="7">
        <f t="shared" si="64"/>
        <v>0</v>
      </c>
      <c r="H133" s="7">
        <f t="shared" si="65"/>
        <v>0</v>
      </c>
      <c r="I133" s="7">
        <f t="shared" si="66"/>
        <v>0</v>
      </c>
      <c r="J133" s="7">
        <f t="shared" si="67"/>
        <v>0</v>
      </c>
      <c r="K133" s="7">
        <f t="shared" si="68"/>
        <v>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tr">
        <f t="shared" si="63"/>
        <v>Luisa </v>
      </c>
      <c r="B134" s="3"/>
      <c r="C134" s="3"/>
      <c r="D134" s="3"/>
      <c r="E134" s="3"/>
      <c r="F134" s="3"/>
      <c r="G134" s="7">
        <f t="shared" si="64"/>
        <v>0</v>
      </c>
      <c r="H134" s="7">
        <f t="shared" si="65"/>
        <v>0</v>
      </c>
      <c r="I134" s="7">
        <f t="shared" si="66"/>
        <v>0</v>
      </c>
      <c r="J134" s="7">
        <f t="shared" si="67"/>
        <v>0</v>
      </c>
      <c r="K134" s="7">
        <f t="shared" si="68"/>
        <v>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tr">
        <f t="shared" si="63"/>
        <v>Andrea</v>
      </c>
      <c r="B135" s="7">
        <v>98.7</v>
      </c>
      <c r="C135" s="7">
        <v>2.0</v>
      </c>
      <c r="D135" s="7">
        <v>1555.17</v>
      </c>
      <c r="E135" s="7">
        <v>1555.17</v>
      </c>
      <c r="F135" s="7">
        <v>1.06</v>
      </c>
      <c r="G135" s="7">
        <f t="shared" si="64"/>
        <v>0</v>
      </c>
      <c r="H135" s="7">
        <f t="shared" si="65"/>
        <v>1.06</v>
      </c>
      <c r="I135" s="7">
        <f t="shared" si="66"/>
        <v>1000</v>
      </c>
      <c r="J135" s="7">
        <f t="shared" si="67"/>
        <v>2653.87</v>
      </c>
      <c r="K135" s="7">
        <f t="shared" si="68"/>
        <v>1098.7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tr">
        <f t="shared" si="63"/>
        <v>Miriam</v>
      </c>
      <c r="B136" s="3"/>
      <c r="C136" s="3"/>
      <c r="D136" s="3"/>
      <c r="E136" s="3"/>
      <c r="F136" s="3"/>
      <c r="G136" s="7">
        <f t="shared" si="64"/>
        <v>0</v>
      </c>
      <c r="H136" s="7">
        <f t="shared" si="65"/>
        <v>0</v>
      </c>
      <c r="I136" s="7">
        <f t="shared" si="66"/>
        <v>0</v>
      </c>
      <c r="J136" s="7">
        <f t="shared" si="67"/>
        <v>0</v>
      </c>
      <c r="K136" s="7">
        <f t="shared" si="68"/>
        <v>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 t="str">
        <f t="shared" si="63"/>
        <v>Kevin</v>
      </c>
      <c r="B137" s="3"/>
      <c r="C137" s="3"/>
      <c r="D137" s="3"/>
      <c r="E137" s="3"/>
      <c r="F137" s="3"/>
      <c r="G137" s="7">
        <f t="shared" si="64"/>
        <v>0</v>
      </c>
      <c r="H137" s="7">
        <f t="shared" si="65"/>
        <v>0</v>
      </c>
      <c r="I137" s="7">
        <f t="shared" si="66"/>
        <v>0</v>
      </c>
      <c r="J137" s="7">
        <f t="shared" si="67"/>
        <v>0</v>
      </c>
      <c r="K137" s="7">
        <f t="shared" si="68"/>
        <v>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 t="str">
        <f t="shared" si="63"/>
        <v/>
      </c>
      <c r="B138" s="3"/>
      <c r="C138" s="3"/>
      <c r="D138" s="3"/>
      <c r="E138" s="3"/>
      <c r="F138" s="3"/>
      <c r="G138" s="7">
        <f t="shared" si="64"/>
        <v>0</v>
      </c>
      <c r="H138" s="7">
        <f t="shared" si="65"/>
        <v>0</v>
      </c>
      <c r="I138" s="7">
        <f t="shared" si="66"/>
        <v>0</v>
      </c>
      <c r="J138" s="7">
        <f t="shared" si="67"/>
        <v>0</v>
      </c>
      <c r="K138" s="7">
        <f t="shared" si="68"/>
        <v>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>
        <f>SUM(B130:B138)</f>
        <v>680.52</v>
      </c>
      <c r="C139" s="3"/>
      <c r="D139" s="7">
        <f t="shared" ref="D139:K139" si="69">SUM(D130:D138)</f>
        <v>3751.06</v>
      </c>
      <c r="E139" s="7">
        <f t="shared" si="69"/>
        <v>3751.06</v>
      </c>
      <c r="F139" s="7">
        <f t="shared" si="69"/>
        <v>2.72</v>
      </c>
      <c r="G139" s="7">
        <f t="shared" si="69"/>
        <v>0</v>
      </c>
      <c r="H139" s="7">
        <f t="shared" si="69"/>
        <v>2.72</v>
      </c>
      <c r="I139" s="7">
        <f t="shared" si="69"/>
        <v>1500</v>
      </c>
      <c r="J139" s="7">
        <f t="shared" si="69"/>
        <v>5931.58</v>
      </c>
      <c r="K139" s="7">
        <f t="shared" si="69"/>
        <v>2180.52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2">
      <c r="A142" s="3" t="s">
        <v>0</v>
      </c>
      <c r="B142" s="12">
        <f>B128+1</f>
        <v>46002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 t="s">
        <v>1</v>
      </c>
      <c r="C143" s="3" t="s">
        <v>2</v>
      </c>
      <c r="D143" s="3" t="s">
        <v>3</v>
      </c>
      <c r="E143" s="3" t="s">
        <v>4</v>
      </c>
      <c r="F143" s="3" t="s">
        <v>5</v>
      </c>
      <c r="G143" s="3" t="s">
        <v>6</v>
      </c>
      <c r="H143" s="3" t="s">
        <v>7</v>
      </c>
      <c r="I143" s="3" t="s">
        <v>8</v>
      </c>
      <c r="J143" s="3" t="s">
        <v>9</v>
      </c>
      <c r="K143" s="3" t="s">
        <v>10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tr">
        <f t="shared" ref="A144:A152" si="70">A130</f>
        <v>Mónica</v>
      </c>
      <c r="B144" s="3"/>
      <c r="C144" s="3"/>
      <c r="D144" s="3"/>
      <c r="E144" s="3"/>
      <c r="F144" s="3"/>
      <c r="G144" s="7">
        <f t="shared" ref="G144:G152" si="71">D144-E144</f>
        <v>0</v>
      </c>
      <c r="H144" s="7">
        <f t="shared" ref="H144:H152" si="72">G144+F144</f>
        <v>0</v>
      </c>
      <c r="I144" s="7">
        <f t="shared" ref="I144:I152" si="73">C144*500</f>
        <v>0</v>
      </c>
      <c r="J144" s="7">
        <f t="shared" ref="J144:J152" si="74">I144+E144+B144</f>
        <v>0</v>
      </c>
      <c r="K144" s="7">
        <f t="shared" ref="K144:K152" si="75">I144+B144</f>
        <v>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tr">
        <f t="shared" si="70"/>
        <v>Dani</v>
      </c>
      <c r="B145" s="7">
        <v>73.47</v>
      </c>
      <c r="C145" s="3"/>
      <c r="D145" s="7">
        <v>2091.98</v>
      </c>
      <c r="E145" s="7">
        <v>2091.98</v>
      </c>
      <c r="F145" s="7">
        <v>2.63</v>
      </c>
      <c r="G145" s="7">
        <f t="shared" si="71"/>
        <v>0</v>
      </c>
      <c r="H145" s="7">
        <f t="shared" si="72"/>
        <v>2.63</v>
      </c>
      <c r="I145" s="7">
        <f t="shared" si="73"/>
        <v>0</v>
      </c>
      <c r="J145" s="7">
        <f t="shared" si="74"/>
        <v>2165.45</v>
      </c>
      <c r="K145" s="7">
        <f t="shared" si="75"/>
        <v>73.47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tr">
        <f t="shared" si="70"/>
        <v>Sol </v>
      </c>
      <c r="B146" s="7">
        <v>82.12</v>
      </c>
      <c r="C146" s="3"/>
      <c r="D146" s="7">
        <v>104.58</v>
      </c>
      <c r="E146" s="7">
        <v>104.58</v>
      </c>
      <c r="F146" s="7">
        <v>-0.03</v>
      </c>
      <c r="G146" s="7">
        <f t="shared" si="71"/>
        <v>0</v>
      </c>
      <c r="H146" s="7">
        <f t="shared" si="72"/>
        <v>-0.03</v>
      </c>
      <c r="I146" s="7">
        <f t="shared" si="73"/>
        <v>0</v>
      </c>
      <c r="J146" s="7">
        <f t="shared" si="74"/>
        <v>186.7</v>
      </c>
      <c r="K146" s="7">
        <f t="shared" si="75"/>
        <v>82.12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tr">
        <f t="shared" si="70"/>
        <v>Katherine </v>
      </c>
      <c r="B147" s="3"/>
      <c r="C147" s="3"/>
      <c r="D147" s="3"/>
      <c r="E147" s="3"/>
      <c r="F147" s="3"/>
      <c r="G147" s="7">
        <f t="shared" si="71"/>
        <v>0</v>
      </c>
      <c r="H147" s="7">
        <f t="shared" si="72"/>
        <v>0</v>
      </c>
      <c r="I147" s="7">
        <f t="shared" si="73"/>
        <v>0</v>
      </c>
      <c r="J147" s="7">
        <f t="shared" si="74"/>
        <v>0</v>
      </c>
      <c r="K147" s="7">
        <f t="shared" si="75"/>
        <v>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tr">
        <f t="shared" si="70"/>
        <v>Luisa </v>
      </c>
      <c r="B148" s="3"/>
      <c r="C148" s="3"/>
      <c r="D148" s="3"/>
      <c r="E148" s="3"/>
      <c r="F148" s="3"/>
      <c r="G148" s="7">
        <f t="shared" si="71"/>
        <v>0</v>
      </c>
      <c r="H148" s="7">
        <f t="shared" si="72"/>
        <v>0</v>
      </c>
      <c r="I148" s="7">
        <f t="shared" si="73"/>
        <v>0</v>
      </c>
      <c r="J148" s="7">
        <f t="shared" si="74"/>
        <v>0</v>
      </c>
      <c r="K148" s="7">
        <f t="shared" si="75"/>
        <v>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tr">
        <f t="shared" si="70"/>
        <v>Andrea</v>
      </c>
      <c r="B149" s="7">
        <v>202.3</v>
      </c>
      <c r="C149" s="7">
        <v>2.0</v>
      </c>
      <c r="D149" s="7">
        <v>1746.34</v>
      </c>
      <c r="E149" s="7">
        <v>1746.34</v>
      </c>
      <c r="F149" s="7">
        <v>2.26</v>
      </c>
      <c r="G149" s="7">
        <f t="shared" si="71"/>
        <v>0</v>
      </c>
      <c r="H149" s="7">
        <f t="shared" si="72"/>
        <v>2.26</v>
      </c>
      <c r="I149" s="7">
        <f t="shared" si="73"/>
        <v>1000</v>
      </c>
      <c r="J149" s="7">
        <f t="shared" si="74"/>
        <v>2948.64</v>
      </c>
      <c r="K149" s="7">
        <f t="shared" si="75"/>
        <v>1202.3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tr">
        <f t="shared" si="70"/>
        <v>Miriam</v>
      </c>
      <c r="B150" s="3"/>
      <c r="C150" s="3"/>
      <c r="D150" s="3"/>
      <c r="E150" s="3"/>
      <c r="F150" s="3"/>
      <c r="G150" s="7">
        <f t="shared" si="71"/>
        <v>0</v>
      </c>
      <c r="H150" s="7">
        <f t="shared" si="72"/>
        <v>0</v>
      </c>
      <c r="I150" s="7">
        <f t="shared" si="73"/>
        <v>0</v>
      </c>
      <c r="J150" s="7">
        <f t="shared" si="74"/>
        <v>0</v>
      </c>
      <c r="K150" s="7">
        <f t="shared" si="75"/>
        <v>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tr">
        <f t="shared" si="70"/>
        <v>Kevin</v>
      </c>
      <c r="B151" s="3"/>
      <c r="C151" s="3"/>
      <c r="D151" s="3"/>
      <c r="E151" s="3"/>
      <c r="F151" s="3"/>
      <c r="G151" s="7">
        <f t="shared" si="71"/>
        <v>0</v>
      </c>
      <c r="H151" s="7">
        <f t="shared" si="72"/>
        <v>0</v>
      </c>
      <c r="I151" s="7">
        <f t="shared" si="73"/>
        <v>0</v>
      </c>
      <c r="J151" s="7">
        <f t="shared" si="74"/>
        <v>0</v>
      </c>
      <c r="K151" s="7">
        <f t="shared" si="75"/>
        <v>0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tr">
        <f t="shared" si="70"/>
        <v/>
      </c>
      <c r="B152" s="3"/>
      <c r="C152" s="3"/>
      <c r="D152" s="3"/>
      <c r="E152" s="3"/>
      <c r="F152" s="3"/>
      <c r="G152" s="7">
        <f t="shared" si="71"/>
        <v>0</v>
      </c>
      <c r="H152" s="7">
        <f t="shared" si="72"/>
        <v>0</v>
      </c>
      <c r="I152" s="7">
        <f t="shared" si="73"/>
        <v>0</v>
      </c>
      <c r="J152" s="7">
        <f t="shared" si="74"/>
        <v>0</v>
      </c>
      <c r="K152" s="7">
        <f t="shared" si="75"/>
        <v>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>
        <f>SUM(B144:B152)</f>
        <v>357.89</v>
      </c>
      <c r="C153" s="3"/>
      <c r="D153" s="7">
        <f t="shared" ref="D153:K153" si="76">SUM(D144:D152)</f>
        <v>3942.9</v>
      </c>
      <c r="E153" s="7">
        <f t="shared" si="76"/>
        <v>3942.9</v>
      </c>
      <c r="F153" s="7">
        <f t="shared" si="76"/>
        <v>4.86</v>
      </c>
      <c r="G153" s="7">
        <f t="shared" si="76"/>
        <v>0</v>
      </c>
      <c r="H153" s="7">
        <f t="shared" si="76"/>
        <v>4.86</v>
      </c>
      <c r="I153" s="7">
        <f t="shared" si="76"/>
        <v>1000</v>
      </c>
      <c r="J153" s="7">
        <f t="shared" si="76"/>
        <v>5300.79</v>
      </c>
      <c r="K153" s="7">
        <f t="shared" si="76"/>
        <v>1357.89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6">
      <c r="A156" s="3" t="s">
        <v>0</v>
      </c>
      <c r="B156" s="12">
        <f>B142+1</f>
        <v>46003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tr">
        <f t="shared" ref="A158:A166" si="77">A144</f>
        <v>Mónica</v>
      </c>
      <c r="B158" s="3"/>
      <c r="C158" s="3"/>
      <c r="D158" s="3"/>
      <c r="E158" s="3"/>
      <c r="F158" s="3"/>
      <c r="G158" s="7">
        <f t="shared" ref="G158:G166" si="78">D158-E158</f>
        <v>0</v>
      </c>
      <c r="H158" s="7">
        <f t="shared" ref="H158:H166" si="79">G158+F158</f>
        <v>0</v>
      </c>
      <c r="I158" s="7">
        <f t="shared" ref="I158:I166" si="80">C158*500</f>
        <v>0</v>
      </c>
      <c r="J158" s="7">
        <f t="shared" ref="J158:J166" si="81">I158+E158+B158</f>
        <v>0</v>
      </c>
      <c r="K158" s="7">
        <f t="shared" ref="K158:K166" si="82">I158+B158</f>
        <v>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tr">
        <f t="shared" si="77"/>
        <v>Dani</v>
      </c>
      <c r="B159" s="7">
        <v>209.08</v>
      </c>
      <c r="C159" s="3"/>
      <c r="D159" s="7">
        <v>1698.64</v>
      </c>
      <c r="E159" s="7">
        <v>1698.64</v>
      </c>
      <c r="F159" s="7">
        <v>2.45</v>
      </c>
      <c r="G159" s="7">
        <f t="shared" si="78"/>
        <v>0</v>
      </c>
      <c r="H159" s="7">
        <f t="shared" si="79"/>
        <v>2.45</v>
      </c>
      <c r="I159" s="7">
        <f t="shared" si="80"/>
        <v>0</v>
      </c>
      <c r="J159" s="7">
        <f t="shared" si="81"/>
        <v>1907.72</v>
      </c>
      <c r="K159" s="7">
        <f t="shared" si="82"/>
        <v>209.08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tr">
        <f t="shared" si="77"/>
        <v>Sol </v>
      </c>
      <c r="B160" s="7">
        <v>62.54</v>
      </c>
      <c r="C160" s="3"/>
      <c r="D160" s="7">
        <v>7.1</v>
      </c>
      <c r="E160" s="7">
        <v>7.1</v>
      </c>
      <c r="F160" s="7">
        <v>0.43</v>
      </c>
      <c r="G160" s="7">
        <f t="shared" si="78"/>
        <v>0</v>
      </c>
      <c r="H160" s="7">
        <f t="shared" si="79"/>
        <v>0.43</v>
      </c>
      <c r="I160" s="7">
        <f t="shared" si="80"/>
        <v>0</v>
      </c>
      <c r="J160" s="7">
        <f t="shared" si="81"/>
        <v>69.64</v>
      </c>
      <c r="K160" s="7">
        <f t="shared" si="82"/>
        <v>62.54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tr">
        <f t="shared" si="77"/>
        <v>Katherine </v>
      </c>
      <c r="B161" s="3"/>
      <c r="C161" s="3"/>
      <c r="D161" s="3"/>
      <c r="E161" s="3"/>
      <c r="F161" s="3"/>
      <c r="G161" s="7">
        <f t="shared" si="78"/>
        <v>0</v>
      </c>
      <c r="H161" s="7">
        <f t="shared" si="79"/>
        <v>0</v>
      </c>
      <c r="I161" s="7">
        <f t="shared" si="80"/>
        <v>0</v>
      </c>
      <c r="J161" s="7">
        <f t="shared" si="81"/>
        <v>0</v>
      </c>
      <c r="K161" s="7">
        <f t="shared" si="82"/>
        <v>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tr">
        <f t="shared" si="77"/>
        <v>Luisa </v>
      </c>
      <c r="B162" s="3"/>
      <c r="C162" s="3"/>
      <c r="D162" s="3"/>
      <c r="E162" s="3"/>
      <c r="F162" s="3"/>
      <c r="G162" s="7">
        <f t="shared" si="78"/>
        <v>0</v>
      </c>
      <c r="H162" s="7">
        <f t="shared" si="79"/>
        <v>0</v>
      </c>
      <c r="I162" s="7">
        <f t="shared" si="80"/>
        <v>0</v>
      </c>
      <c r="J162" s="7">
        <f t="shared" si="81"/>
        <v>0</v>
      </c>
      <c r="K162" s="7">
        <f t="shared" si="82"/>
        <v>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tr">
        <f t="shared" si="77"/>
        <v>Andrea</v>
      </c>
      <c r="B163" s="7">
        <v>333.1</v>
      </c>
      <c r="C163" s="7">
        <v>2.0</v>
      </c>
      <c r="D163" s="7">
        <v>1491.93</v>
      </c>
      <c r="E163" s="7">
        <v>1491.93</v>
      </c>
      <c r="F163" s="7">
        <v>-4.15</v>
      </c>
      <c r="G163" s="7">
        <f t="shared" si="78"/>
        <v>0</v>
      </c>
      <c r="H163" s="7">
        <f t="shared" si="79"/>
        <v>-4.15</v>
      </c>
      <c r="I163" s="7">
        <f t="shared" si="80"/>
        <v>1000</v>
      </c>
      <c r="J163" s="7">
        <f t="shared" si="81"/>
        <v>2825.03</v>
      </c>
      <c r="K163" s="7">
        <f t="shared" si="82"/>
        <v>1333.1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tr">
        <f t="shared" si="77"/>
        <v>Miriam</v>
      </c>
      <c r="B164" s="3"/>
      <c r="C164" s="3"/>
      <c r="D164" s="3"/>
      <c r="E164" s="3"/>
      <c r="F164" s="3"/>
      <c r="G164" s="7">
        <f t="shared" si="78"/>
        <v>0</v>
      </c>
      <c r="H164" s="7">
        <f t="shared" si="79"/>
        <v>0</v>
      </c>
      <c r="I164" s="7">
        <f t="shared" si="80"/>
        <v>0</v>
      </c>
      <c r="J164" s="7">
        <f t="shared" si="81"/>
        <v>0</v>
      </c>
      <c r="K164" s="7">
        <f t="shared" si="82"/>
        <v>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tr">
        <f t="shared" si="77"/>
        <v>Kevin</v>
      </c>
      <c r="B165" s="7"/>
      <c r="C165" s="7"/>
      <c r="D165" s="7"/>
      <c r="E165" s="7"/>
      <c r="F165" s="7"/>
      <c r="G165" s="7">
        <f t="shared" si="78"/>
        <v>0</v>
      </c>
      <c r="H165" s="7">
        <f t="shared" si="79"/>
        <v>0</v>
      </c>
      <c r="I165" s="7">
        <f t="shared" si="80"/>
        <v>0</v>
      </c>
      <c r="J165" s="7">
        <f t="shared" si="81"/>
        <v>0</v>
      </c>
      <c r="K165" s="7">
        <f t="shared" si="82"/>
        <v>0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tr">
        <f t="shared" si="77"/>
        <v/>
      </c>
      <c r="B166" s="3"/>
      <c r="C166" s="3"/>
      <c r="D166" s="3"/>
      <c r="E166" s="3"/>
      <c r="F166" s="3"/>
      <c r="G166" s="7">
        <f t="shared" si="78"/>
        <v>0</v>
      </c>
      <c r="H166" s="7">
        <f t="shared" si="79"/>
        <v>0</v>
      </c>
      <c r="I166" s="7">
        <f t="shared" si="80"/>
        <v>0</v>
      </c>
      <c r="J166" s="7">
        <f t="shared" si="81"/>
        <v>0</v>
      </c>
      <c r="K166" s="7">
        <f t="shared" si="82"/>
        <v>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>
        <f>SUM(B158:B166)</f>
        <v>604.72</v>
      </c>
      <c r="C167" s="3"/>
      <c r="D167" s="7">
        <f t="shared" ref="D167:K167" si="83">SUM(D158:D166)</f>
        <v>3197.67</v>
      </c>
      <c r="E167" s="7">
        <f t="shared" si="83"/>
        <v>3197.67</v>
      </c>
      <c r="F167" s="7">
        <f t="shared" si="83"/>
        <v>-1.27</v>
      </c>
      <c r="G167" s="7">
        <f t="shared" si="83"/>
        <v>0</v>
      </c>
      <c r="H167" s="7">
        <f t="shared" si="83"/>
        <v>-1.27</v>
      </c>
      <c r="I167" s="7">
        <f t="shared" si="83"/>
        <v>1000</v>
      </c>
      <c r="J167" s="7">
        <f t="shared" si="83"/>
        <v>4802.39</v>
      </c>
      <c r="K167" s="7">
        <f t="shared" si="83"/>
        <v>1604.72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70">
      <c r="A170" s="3" t="s">
        <v>0</v>
      </c>
      <c r="B170" s="12">
        <f>B156+1</f>
        <v>46004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 t="s">
        <v>1</v>
      </c>
      <c r="C171" s="3" t="s">
        <v>2</v>
      </c>
      <c r="D171" s="3" t="s">
        <v>3</v>
      </c>
      <c r="E171" s="3" t="s">
        <v>4</v>
      </c>
      <c r="F171" s="3" t="s">
        <v>5</v>
      </c>
      <c r="G171" s="3" t="s">
        <v>6</v>
      </c>
      <c r="H171" s="3" t="s">
        <v>7</v>
      </c>
      <c r="I171" s="3" t="s">
        <v>8</v>
      </c>
      <c r="J171" s="3" t="s">
        <v>9</v>
      </c>
      <c r="K171" s="3" t="s">
        <v>10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tr">
        <f t="shared" ref="A172:A180" si="84">A158</f>
        <v>Mónica</v>
      </c>
      <c r="B172" s="3"/>
      <c r="C172" s="3"/>
      <c r="D172" s="3"/>
      <c r="E172" s="3"/>
      <c r="F172" s="3"/>
      <c r="G172" s="7">
        <f t="shared" ref="G172:G180" si="85">D172-E172</f>
        <v>0</v>
      </c>
      <c r="H172" s="7">
        <f t="shared" ref="H172:H180" si="86">G172+F172</f>
        <v>0</v>
      </c>
      <c r="I172" s="7">
        <f t="shared" ref="I172:I180" si="87">C172*500</f>
        <v>0</v>
      </c>
      <c r="J172" s="7">
        <f t="shared" ref="J172:J180" si="88">I172+E172+B172</f>
        <v>0</v>
      </c>
      <c r="K172" s="7">
        <f t="shared" ref="K172:K180" si="89">I172+B172</f>
        <v>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tr">
        <f t="shared" si="84"/>
        <v>Dani</v>
      </c>
      <c r="B173" s="7">
        <v>50.77</v>
      </c>
      <c r="C173" s="7">
        <v>2.0</v>
      </c>
      <c r="D173" s="7">
        <v>1377.76</v>
      </c>
      <c r="E173" s="7">
        <v>1377.76</v>
      </c>
      <c r="F173" s="7">
        <v>2.17</v>
      </c>
      <c r="G173" s="7">
        <f t="shared" si="85"/>
        <v>0</v>
      </c>
      <c r="H173" s="7">
        <f t="shared" si="86"/>
        <v>2.17</v>
      </c>
      <c r="I173" s="7">
        <f t="shared" si="87"/>
        <v>1000</v>
      </c>
      <c r="J173" s="7">
        <f t="shared" si="88"/>
        <v>2428.53</v>
      </c>
      <c r="K173" s="7">
        <f t="shared" si="89"/>
        <v>1050.77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tr">
        <f t="shared" si="84"/>
        <v>Sol </v>
      </c>
      <c r="B174" s="7">
        <v>265.4</v>
      </c>
      <c r="C174" s="3"/>
      <c r="D174" s="7">
        <v>482.04</v>
      </c>
      <c r="E174" s="7">
        <v>482.04</v>
      </c>
      <c r="F174" s="7">
        <v>-5.35</v>
      </c>
      <c r="G174" s="7">
        <f t="shared" si="85"/>
        <v>0</v>
      </c>
      <c r="H174" s="7">
        <f t="shared" si="86"/>
        <v>-5.35</v>
      </c>
      <c r="I174" s="7">
        <f t="shared" si="87"/>
        <v>0</v>
      </c>
      <c r="J174" s="7">
        <f t="shared" si="88"/>
        <v>747.44</v>
      </c>
      <c r="K174" s="7">
        <f t="shared" si="89"/>
        <v>265.4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tr">
        <f t="shared" si="84"/>
        <v>Katherine </v>
      </c>
      <c r="B175" s="3"/>
      <c r="C175" s="3"/>
      <c r="D175" s="3"/>
      <c r="E175" s="3"/>
      <c r="F175" s="3"/>
      <c r="G175" s="7">
        <f t="shared" si="85"/>
        <v>0</v>
      </c>
      <c r="H175" s="7">
        <f t="shared" si="86"/>
        <v>0</v>
      </c>
      <c r="I175" s="7">
        <f t="shared" si="87"/>
        <v>0</v>
      </c>
      <c r="J175" s="7">
        <f t="shared" si="88"/>
        <v>0</v>
      </c>
      <c r="K175" s="7">
        <f t="shared" si="89"/>
        <v>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tr">
        <f t="shared" si="84"/>
        <v>Luisa </v>
      </c>
      <c r="B176" s="3"/>
      <c r="C176" s="3"/>
      <c r="D176" s="3"/>
      <c r="E176" s="3"/>
      <c r="F176" s="3"/>
      <c r="G176" s="7">
        <f t="shared" si="85"/>
        <v>0</v>
      </c>
      <c r="H176" s="7">
        <f t="shared" si="86"/>
        <v>0</v>
      </c>
      <c r="I176" s="7">
        <f t="shared" si="87"/>
        <v>0</v>
      </c>
      <c r="J176" s="7">
        <f t="shared" si="88"/>
        <v>0</v>
      </c>
      <c r="K176" s="7">
        <f t="shared" si="89"/>
        <v>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tr">
        <f t="shared" si="84"/>
        <v>Andrea</v>
      </c>
      <c r="B177" s="7">
        <v>209.0</v>
      </c>
      <c r="C177" s="7">
        <v>2.0</v>
      </c>
      <c r="D177" s="7">
        <v>1604.22</v>
      </c>
      <c r="E177" s="7">
        <v>1602.22</v>
      </c>
      <c r="F177" s="7">
        <v>3.7</v>
      </c>
      <c r="G177" s="7">
        <f t="shared" si="85"/>
        <v>2</v>
      </c>
      <c r="H177" s="7">
        <f t="shared" si="86"/>
        <v>5.7</v>
      </c>
      <c r="I177" s="7">
        <f t="shared" si="87"/>
        <v>1000</v>
      </c>
      <c r="J177" s="7">
        <f t="shared" si="88"/>
        <v>2811.22</v>
      </c>
      <c r="K177" s="7">
        <f t="shared" si="89"/>
        <v>1209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tr">
        <f t="shared" si="84"/>
        <v>Miriam</v>
      </c>
      <c r="B178" s="3"/>
      <c r="C178" s="3"/>
      <c r="D178" s="3"/>
      <c r="E178" s="3"/>
      <c r="F178" s="3"/>
      <c r="G178" s="7">
        <f t="shared" si="85"/>
        <v>0</v>
      </c>
      <c r="H178" s="7">
        <f t="shared" si="86"/>
        <v>0</v>
      </c>
      <c r="I178" s="7">
        <f t="shared" si="87"/>
        <v>0</v>
      </c>
      <c r="J178" s="7">
        <f t="shared" si="88"/>
        <v>0</v>
      </c>
      <c r="K178" s="7">
        <f t="shared" si="89"/>
        <v>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tr">
        <f t="shared" si="84"/>
        <v>Kevin</v>
      </c>
      <c r="B179" s="3"/>
      <c r="C179" s="3"/>
      <c r="D179" s="3"/>
      <c r="E179" s="3"/>
      <c r="F179" s="3"/>
      <c r="G179" s="7">
        <f t="shared" si="85"/>
        <v>0</v>
      </c>
      <c r="H179" s="7">
        <f t="shared" si="86"/>
        <v>0</v>
      </c>
      <c r="I179" s="7">
        <f t="shared" si="87"/>
        <v>0</v>
      </c>
      <c r="J179" s="7">
        <f t="shared" si="88"/>
        <v>0</v>
      </c>
      <c r="K179" s="7">
        <f t="shared" si="89"/>
        <v>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tr">
        <f t="shared" si="84"/>
        <v/>
      </c>
      <c r="B180" s="3"/>
      <c r="C180" s="3"/>
      <c r="D180" s="3"/>
      <c r="E180" s="3"/>
      <c r="F180" s="3"/>
      <c r="G180" s="7">
        <f t="shared" si="85"/>
        <v>0</v>
      </c>
      <c r="H180" s="7">
        <f t="shared" si="86"/>
        <v>0</v>
      </c>
      <c r="I180" s="7">
        <f t="shared" si="87"/>
        <v>0</v>
      </c>
      <c r="J180" s="7">
        <f t="shared" si="88"/>
        <v>0</v>
      </c>
      <c r="K180" s="7">
        <f t="shared" si="89"/>
        <v>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>
        <f>SUM(B172:B180)</f>
        <v>525.17</v>
      </c>
      <c r="C181" s="3"/>
      <c r="D181" s="7">
        <f t="shared" ref="D181:K181" si="90">SUM(D172:D180)</f>
        <v>3464.02</v>
      </c>
      <c r="E181" s="7">
        <f t="shared" si="90"/>
        <v>3462.02</v>
      </c>
      <c r="F181" s="7">
        <f t="shared" si="90"/>
        <v>0.52</v>
      </c>
      <c r="G181" s="7">
        <f t="shared" si="90"/>
        <v>2</v>
      </c>
      <c r="H181" s="7">
        <f t="shared" si="90"/>
        <v>2.52</v>
      </c>
      <c r="I181" s="7">
        <f t="shared" si="90"/>
        <v>2000</v>
      </c>
      <c r="J181" s="7">
        <f t="shared" si="90"/>
        <v>5987.19</v>
      </c>
      <c r="K181" s="7">
        <f t="shared" si="90"/>
        <v>2525.17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4">
      <c r="A184" s="3" t="s">
        <v>0</v>
      </c>
      <c r="B184" s="12">
        <f>B170+1</f>
        <v>46005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 t="s">
        <v>1</v>
      </c>
      <c r="C185" s="3" t="s">
        <v>2</v>
      </c>
      <c r="D185" s="3" t="s">
        <v>3</v>
      </c>
      <c r="E185" s="3" t="s">
        <v>4</v>
      </c>
      <c r="F185" s="3" t="s">
        <v>5</v>
      </c>
      <c r="G185" s="3" t="s">
        <v>6</v>
      </c>
      <c r="H185" s="3" t="s">
        <v>7</v>
      </c>
      <c r="I185" s="3" t="s">
        <v>8</v>
      </c>
      <c r="J185" s="3" t="s">
        <v>9</v>
      </c>
      <c r="K185" s="3" t="s">
        <v>10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tr">
        <f t="shared" ref="A186:A194" si="91">A172</f>
        <v>Mónica</v>
      </c>
      <c r="B186" s="4"/>
      <c r="C186" s="4"/>
      <c r="D186" s="4"/>
      <c r="E186" s="4"/>
      <c r="F186" s="4"/>
      <c r="G186" s="7">
        <f t="shared" ref="G186:G194" si="92">D186-E186</f>
        <v>0</v>
      </c>
      <c r="H186" s="7">
        <f t="shared" ref="H186:H194" si="93">G186+F186</f>
        <v>0</v>
      </c>
      <c r="I186" s="7">
        <f t="shared" ref="I186:I194" si="94">C186*500</f>
        <v>0</v>
      </c>
      <c r="J186" s="7">
        <f t="shared" ref="J186:J194" si="95">I186+E186+B186</f>
        <v>0</v>
      </c>
      <c r="K186" s="7">
        <f t="shared" ref="K186:K194" si="96">I186+B186</f>
        <v>0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tr">
        <f t="shared" si="91"/>
        <v>Dani</v>
      </c>
      <c r="B187" s="3"/>
      <c r="C187" s="3"/>
      <c r="D187" s="3"/>
      <c r="E187" s="3"/>
      <c r="F187" s="3"/>
      <c r="G187" s="7">
        <f t="shared" si="92"/>
        <v>0</v>
      </c>
      <c r="H187" s="7">
        <f t="shared" si="93"/>
        <v>0</v>
      </c>
      <c r="I187" s="7">
        <f t="shared" si="94"/>
        <v>0</v>
      </c>
      <c r="J187" s="7">
        <f t="shared" si="95"/>
        <v>0</v>
      </c>
      <c r="K187" s="7">
        <f t="shared" si="96"/>
        <v>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tr">
        <f t="shared" si="91"/>
        <v>Sol </v>
      </c>
      <c r="B188" s="8"/>
      <c r="C188" s="8"/>
      <c r="D188" s="8"/>
      <c r="E188" s="8"/>
      <c r="F188" s="8"/>
      <c r="G188" s="7">
        <f t="shared" si="92"/>
        <v>0</v>
      </c>
      <c r="H188" s="7">
        <f t="shared" si="93"/>
        <v>0</v>
      </c>
      <c r="I188" s="7">
        <f t="shared" si="94"/>
        <v>0</v>
      </c>
      <c r="J188" s="7">
        <f t="shared" si="95"/>
        <v>0</v>
      </c>
      <c r="K188" s="7">
        <f t="shared" si="96"/>
        <v>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tr">
        <f t="shared" si="91"/>
        <v>Katherine </v>
      </c>
      <c r="B189" s="8"/>
      <c r="C189" s="8"/>
      <c r="D189" s="8"/>
      <c r="E189" s="8"/>
      <c r="F189" s="8"/>
      <c r="G189" s="7">
        <f t="shared" si="92"/>
        <v>0</v>
      </c>
      <c r="H189" s="7">
        <f t="shared" si="93"/>
        <v>0</v>
      </c>
      <c r="I189" s="7">
        <f t="shared" si="94"/>
        <v>0</v>
      </c>
      <c r="J189" s="7">
        <f t="shared" si="95"/>
        <v>0</v>
      </c>
      <c r="K189" s="7">
        <f t="shared" si="96"/>
        <v>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tr">
        <f t="shared" si="91"/>
        <v>Luisa </v>
      </c>
      <c r="B190" s="3"/>
      <c r="C190" s="3"/>
      <c r="D190" s="3"/>
      <c r="E190" s="3"/>
      <c r="F190" s="3"/>
      <c r="G190" s="7">
        <f t="shared" si="92"/>
        <v>0</v>
      </c>
      <c r="H190" s="7">
        <f t="shared" si="93"/>
        <v>0</v>
      </c>
      <c r="I190" s="7">
        <f t="shared" si="94"/>
        <v>0</v>
      </c>
      <c r="J190" s="7">
        <f t="shared" si="95"/>
        <v>0</v>
      </c>
      <c r="K190" s="7">
        <f t="shared" si="96"/>
        <v>0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tr">
        <f t="shared" si="91"/>
        <v>Andrea</v>
      </c>
      <c r="B191" s="3"/>
      <c r="C191" s="3"/>
      <c r="D191" s="3"/>
      <c r="E191" s="3"/>
      <c r="F191" s="3"/>
      <c r="G191" s="7">
        <f t="shared" si="92"/>
        <v>0</v>
      </c>
      <c r="H191" s="7">
        <f t="shared" si="93"/>
        <v>0</v>
      </c>
      <c r="I191" s="7">
        <f t="shared" si="94"/>
        <v>0</v>
      </c>
      <c r="J191" s="7">
        <f t="shared" si="95"/>
        <v>0</v>
      </c>
      <c r="K191" s="7">
        <f t="shared" si="96"/>
        <v>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tr">
        <f t="shared" si="91"/>
        <v>Miriam</v>
      </c>
      <c r="B192" s="7"/>
      <c r="C192" s="7"/>
      <c r="D192" s="7"/>
      <c r="E192" s="7"/>
      <c r="F192" s="7"/>
      <c r="G192" s="7">
        <f t="shared" si="92"/>
        <v>0</v>
      </c>
      <c r="H192" s="7">
        <f t="shared" si="93"/>
        <v>0</v>
      </c>
      <c r="I192" s="7">
        <f t="shared" si="94"/>
        <v>0</v>
      </c>
      <c r="J192" s="7">
        <f t="shared" si="95"/>
        <v>0</v>
      </c>
      <c r="K192" s="7">
        <f t="shared" si="96"/>
        <v>0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tr">
        <f t="shared" si="91"/>
        <v>Kevin</v>
      </c>
      <c r="B193" s="3"/>
      <c r="C193" s="3"/>
      <c r="D193" s="3"/>
      <c r="E193" s="3"/>
      <c r="F193" s="3"/>
      <c r="G193" s="7">
        <f t="shared" si="92"/>
        <v>0</v>
      </c>
      <c r="H193" s="7">
        <f t="shared" si="93"/>
        <v>0</v>
      </c>
      <c r="I193" s="7">
        <f t="shared" si="94"/>
        <v>0</v>
      </c>
      <c r="J193" s="7">
        <f t="shared" si="95"/>
        <v>0</v>
      </c>
      <c r="K193" s="7">
        <f t="shared" si="96"/>
        <v>0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tr">
        <f t="shared" si="91"/>
        <v/>
      </c>
      <c r="B194" s="3"/>
      <c r="C194" s="3"/>
      <c r="D194" s="3"/>
      <c r="E194" s="3"/>
      <c r="F194" s="3"/>
      <c r="G194" s="7">
        <f t="shared" si="92"/>
        <v>0</v>
      </c>
      <c r="H194" s="7">
        <f t="shared" si="93"/>
        <v>0</v>
      </c>
      <c r="I194" s="7">
        <f t="shared" si="94"/>
        <v>0</v>
      </c>
      <c r="J194" s="7">
        <f t="shared" si="95"/>
        <v>0</v>
      </c>
      <c r="K194" s="7">
        <f t="shared" si="96"/>
        <v>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>
        <f>SUM(B186:B194)</f>
        <v>0</v>
      </c>
      <c r="C195" s="3"/>
      <c r="D195" s="7">
        <f t="shared" ref="D195:K195" si="97">SUM(D186:D194)</f>
        <v>0</v>
      </c>
      <c r="E195" s="7">
        <f t="shared" si="97"/>
        <v>0</v>
      </c>
      <c r="F195" s="7">
        <f t="shared" si="97"/>
        <v>0</v>
      </c>
      <c r="G195" s="7">
        <f t="shared" si="97"/>
        <v>0</v>
      </c>
      <c r="H195" s="7">
        <f t="shared" si="97"/>
        <v>0</v>
      </c>
      <c r="I195" s="7">
        <f t="shared" si="97"/>
        <v>0</v>
      </c>
      <c r="J195" s="7">
        <f t="shared" si="97"/>
        <v>0</v>
      </c>
      <c r="K195" s="7">
        <f t="shared" si="97"/>
        <v>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8">
      <c r="A198" s="3" t="s">
        <v>0</v>
      </c>
      <c r="B198" s="12">
        <f>B184+1</f>
        <v>46006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 t="s">
        <v>1</v>
      </c>
      <c r="C199" s="3" t="s">
        <v>2</v>
      </c>
      <c r="D199" s="3" t="s">
        <v>3</v>
      </c>
      <c r="E199" s="3" t="s">
        <v>4</v>
      </c>
      <c r="F199" s="3" t="s">
        <v>5</v>
      </c>
      <c r="G199" s="3" t="s">
        <v>6</v>
      </c>
      <c r="H199" s="3" t="s">
        <v>7</v>
      </c>
      <c r="I199" s="3" t="s">
        <v>8</v>
      </c>
      <c r="J199" s="3" t="s">
        <v>9</v>
      </c>
      <c r="K199" s="3" t="s">
        <v>10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tr">
        <f t="shared" ref="A200:A208" si="98">A186</f>
        <v>Mónica</v>
      </c>
      <c r="B200" s="4"/>
      <c r="C200" s="4"/>
      <c r="D200" s="4"/>
      <c r="E200" s="4"/>
      <c r="F200" s="4"/>
      <c r="G200" s="7">
        <f t="shared" ref="G200:G208" si="99">D200-E200</f>
        <v>0</v>
      </c>
      <c r="H200" s="7">
        <f t="shared" ref="H200:H208" si="100">G200+F200</f>
        <v>0</v>
      </c>
      <c r="I200" s="7">
        <f t="shared" ref="I200:I208" si="101">C200*500</f>
        <v>0</v>
      </c>
      <c r="J200" s="7">
        <f t="shared" ref="J200:J208" si="102">I200+E200+B200</f>
        <v>0</v>
      </c>
      <c r="K200" s="7">
        <f t="shared" ref="K200:K208" si="103">I200+B200</f>
        <v>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tr">
        <f t="shared" si="98"/>
        <v>Dani</v>
      </c>
      <c r="B201" s="7">
        <v>478.07</v>
      </c>
      <c r="C201" s="7">
        <v>2.0</v>
      </c>
      <c r="D201" s="7">
        <v>1574.46</v>
      </c>
      <c r="E201" s="7">
        <v>1574.43</v>
      </c>
      <c r="F201" s="7">
        <v>4.59</v>
      </c>
      <c r="G201" s="7">
        <f t="shared" si="99"/>
        <v>0.03</v>
      </c>
      <c r="H201" s="7">
        <f t="shared" si="100"/>
        <v>4.62</v>
      </c>
      <c r="I201" s="7">
        <f t="shared" si="101"/>
        <v>1000</v>
      </c>
      <c r="J201" s="7">
        <f t="shared" si="102"/>
        <v>3052.5</v>
      </c>
      <c r="K201" s="7">
        <f t="shared" si="103"/>
        <v>1478.07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tr">
        <f t="shared" si="98"/>
        <v>Sol </v>
      </c>
      <c r="B202" s="7">
        <v>29.16</v>
      </c>
      <c r="C202" s="3"/>
      <c r="D202" s="7">
        <v>100.77</v>
      </c>
      <c r="E202" s="7">
        <v>100.77</v>
      </c>
      <c r="F202" s="7">
        <v>0.02</v>
      </c>
      <c r="G202" s="7">
        <f t="shared" si="99"/>
        <v>0</v>
      </c>
      <c r="H202" s="7">
        <f t="shared" si="100"/>
        <v>0.02</v>
      </c>
      <c r="I202" s="7">
        <f t="shared" si="101"/>
        <v>0</v>
      </c>
      <c r="J202" s="7">
        <f t="shared" si="102"/>
        <v>129.93</v>
      </c>
      <c r="K202" s="7">
        <f t="shared" si="103"/>
        <v>29.16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tr">
        <f t="shared" si="98"/>
        <v>Katherine </v>
      </c>
      <c r="B203" s="3"/>
      <c r="C203" s="3"/>
      <c r="D203" s="3"/>
      <c r="E203" s="3"/>
      <c r="F203" s="3"/>
      <c r="G203" s="7">
        <f t="shared" si="99"/>
        <v>0</v>
      </c>
      <c r="H203" s="7">
        <f t="shared" si="100"/>
        <v>0</v>
      </c>
      <c r="I203" s="7">
        <f t="shared" si="101"/>
        <v>0</v>
      </c>
      <c r="J203" s="7">
        <f t="shared" si="102"/>
        <v>0</v>
      </c>
      <c r="K203" s="7">
        <f t="shared" si="103"/>
        <v>0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tr">
        <f t="shared" si="98"/>
        <v>Luisa </v>
      </c>
      <c r="B204" s="3"/>
      <c r="C204" s="3"/>
      <c r="D204" s="3"/>
      <c r="E204" s="3"/>
      <c r="F204" s="3"/>
      <c r="G204" s="7">
        <f t="shared" si="99"/>
        <v>0</v>
      </c>
      <c r="H204" s="7">
        <f t="shared" si="100"/>
        <v>0</v>
      </c>
      <c r="I204" s="7">
        <f t="shared" si="101"/>
        <v>0</v>
      </c>
      <c r="J204" s="7">
        <f t="shared" si="102"/>
        <v>0</v>
      </c>
      <c r="K204" s="7">
        <f t="shared" si="103"/>
        <v>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tr">
        <f t="shared" si="98"/>
        <v>Andrea</v>
      </c>
      <c r="B205" s="7">
        <v>501.5</v>
      </c>
      <c r="C205" s="7">
        <v>2.0</v>
      </c>
      <c r="D205" s="7">
        <v>1391.03</v>
      </c>
      <c r="E205" s="7">
        <v>1391.03</v>
      </c>
      <c r="F205" s="7">
        <v>-0.78</v>
      </c>
      <c r="G205" s="7">
        <f t="shared" si="99"/>
        <v>0</v>
      </c>
      <c r="H205" s="7">
        <f t="shared" si="100"/>
        <v>-0.78</v>
      </c>
      <c r="I205" s="7">
        <f t="shared" si="101"/>
        <v>1000</v>
      </c>
      <c r="J205" s="7">
        <f t="shared" si="102"/>
        <v>2892.53</v>
      </c>
      <c r="K205" s="7">
        <f t="shared" si="103"/>
        <v>1501.5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tr">
        <f t="shared" si="98"/>
        <v>Miriam</v>
      </c>
      <c r="B206" s="3"/>
      <c r="C206" s="3"/>
      <c r="D206" s="3"/>
      <c r="E206" s="3"/>
      <c r="F206" s="3"/>
      <c r="G206" s="7">
        <f t="shared" si="99"/>
        <v>0</v>
      </c>
      <c r="H206" s="7">
        <f t="shared" si="100"/>
        <v>0</v>
      </c>
      <c r="I206" s="7">
        <f t="shared" si="101"/>
        <v>0</v>
      </c>
      <c r="J206" s="7">
        <f t="shared" si="102"/>
        <v>0</v>
      </c>
      <c r="K206" s="7">
        <f t="shared" si="103"/>
        <v>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tr">
        <f t="shared" si="98"/>
        <v>Kevin</v>
      </c>
      <c r="B207" s="7"/>
      <c r="C207" s="7"/>
      <c r="D207" s="7"/>
      <c r="E207" s="7"/>
      <c r="F207" s="3"/>
      <c r="G207" s="7">
        <f t="shared" si="99"/>
        <v>0</v>
      </c>
      <c r="H207" s="7">
        <f t="shared" si="100"/>
        <v>0</v>
      </c>
      <c r="I207" s="7">
        <f t="shared" si="101"/>
        <v>0</v>
      </c>
      <c r="J207" s="7">
        <f t="shared" si="102"/>
        <v>0</v>
      </c>
      <c r="K207" s="7">
        <f t="shared" si="103"/>
        <v>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tr">
        <f t="shared" si="98"/>
        <v/>
      </c>
      <c r="B208" s="3"/>
      <c r="C208" s="3"/>
      <c r="D208" s="3"/>
      <c r="E208" s="3"/>
      <c r="F208" s="3"/>
      <c r="G208" s="7">
        <f t="shared" si="99"/>
        <v>0</v>
      </c>
      <c r="H208" s="7">
        <f t="shared" si="100"/>
        <v>0</v>
      </c>
      <c r="I208" s="7">
        <f t="shared" si="101"/>
        <v>0</v>
      </c>
      <c r="J208" s="7">
        <f t="shared" si="102"/>
        <v>0</v>
      </c>
      <c r="K208" s="7">
        <f t="shared" si="103"/>
        <v>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>
        <f>SUM(B200:B208)</f>
        <v>1008.73</v>
      </c>
      <c r="C209" s="3"/>
      <c r="D209" s="7">
        <f t="shared" ref="D209:K209" si="104">SUM(D200:D208)</f>
        <v>3066.26</v>
      </c>
      <c r="E209" s="7">
        <f t="shared" si="104"/>
        <v>3066.23</v>
      </c>
      <c r="F209" s="7">
        <f t="shared" si="104"/>
        <v>3.83</v>
      </c>
      <c r="G209" s="7">
        <f t="shared" si="104"/>
        <v>0.03</v>
      </c>
      <c r="H209" s="7">
        <f t="shared" si="104"/>
        <v>3.86</v>
      </c>
      <c r="I209" s="7">
        <f t="shared" si="104"/>
        <v>2000</v>
      </c>
      <c r="J209" s="7">
        <f t="shared" si="104"/>
        <v>6074.96</v>
      </c>
      <c r="K209" s="7">
        <f t="shared" si="104"/>
        <v>3008.73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2">
      <c r="A212" s="3" t="s">
        <v>0</v>
      </c>
      <c r="B212" s="12">
        <f>B198+1</f>
        <v>46007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tr">
        <f t="shared" ref="A214:A222" si="105">A200</f>
        <v>Mónica</v>
      </c>
      <c r="B214" s="3"/>
      <c r="C214" s="3"/>
      <c r="D214" s="3"/>
      <c r="E214" s="3"/>
      <c r="F214" s="3"/>
      <c r="G214" s="7">
        <f t="shared" ref="G214:G222" si="106">D214-E214</f>
        <v>0</v>
      </c>
      <c r="H214" s="7">
        <f t="shared" ref="H214:H222" si="107">G214+F214</f>
        <v>0</v>
      </c>
      <c r="I214" s="7">
        <f t="shared" ref="I214:I222" si="108">C214*500</f>
        <v>0</v>
      </c>
      <c r="J214" s="7">
        <f t="shared" ref="J214:J222" si="109">I214+E214+B214</f>
        <v>0</v>
      </c>
      <c r="K214" s="7">
        <f t="shared" ref="K214:K222" si="110">I214+B214</f>
        <v>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tr">
        <f t="shared" si="105"/>
        <v>Dani</v>
      </c>
      <c r="B215" s="7"/>
      <c r="C215" s="7"/>
      <c r="D215" s="7"/>
      <c r="E215" s="7"/>
      <c r="F215" s="7"/>
      <c r="G215" s="7">
        <f t="shared" si="106"/>
        <v>0</v>
      </c>
      <c r="H215" s="7">
        <f t="shared" si="107"/>
        <v>0</v>
      </c>
      <c r="I215" s="7">
        <f t="shared" si="108"/>
        <v>0</v>
      </c>
      <c r="J215" s="7">
        <f t="shared" si="109"/>
        <v>0</v>
      </c>
      <c r="K215" s="7">
        <f t="shared" si="110"/>
        <v>0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tr">
        <f t="shared" si="105"/>
        <v>Sol </v>
      </c>
      <c r="B216" s="8"/>
      <c r="C216" s="8"/>
      <c r="D216" s="8"/>
      <c r="E216" s="8"/>
      <c r="F216" s="8"/>
      <c r="G216" s="7">
        <f t="shared" si="106"/>
        <v>0</v>
      </c>
      <c r="H216" s="7">
        <f t="shared" si="107"/>
        <v>0</v>
      </c>
      <c r="I216" s="7">
        <f t="shared" si="108"/>
        <v>0</v>
      </c>
      <c r="J216" s="7">
        <f t="shared" si="109"/>
        <v>0</v>
      </c>
      <c r="K216" s="7">
        <f t="shared" si="110"/>
        <v>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tr">
        <f t="shared" si="105"/>
        <v>Katherine </v>
      </c>
      <c r="B217" s="8"/>
      <c r="C217" s="8"/>
      <c r="D217" s="8"/>
      <c r="E217" s="8"/>
      <c r="F217" s="8"/>
      <c r="G217" s="7">
        <f t="shared" si="106"/>
        <v>0</v>
      </c>
      <c r="H217" s="7">
        <f t="shared" si="107"/>
        <v>0</v>
      </c>
      <c r="I217" s="7">
        <f t="shared" si="108"/>
        <v>0</v>
      </c>
      <c r="J217" s="7">
        <f t="shared" si="109"/>
        <v>0</v>
      </c>
      <c r="K217" s="7">
        <f t="shared" si="110"/>
        <v>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tr">
        <f t="shared" si="105"/>
        <v>Luisa </v>
      </c>
      <c r="B218" s="3"/>
      <c r="C218" s="3"/>
      <c r="D218" s="3"/>
      <c r="E218" s="3"/>
      <c r="F218" s="3"/>
      <c r="G218" s="7">
        <f t="shared" si="106"/>
        <v>0</v>
      </c>
      <c r="H218" s="7">
        <f t="shared" si="107"/>
        <v>0</v>
      </c>
      <c r="I218" s="7">
        <f t="shared" si="108"/>
        <v>0</v>
      </c>
      <c r="J218" s="7">
        <f t="shared" si="109"/>
        <v>0</v>
      </c>
      <c r="K218" s="7">
        <f t="shared" si="110"/>
        <v>0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tr">
        <f t="shared" si="105"/>
        <v>Andrea</v>
      </c>
      <c r="B219" s="3"/>
      <c r="C219" s="3"/>
      <c r="D219" s="3"/>
      <c r="E219" s="3"/>
      <c r="F219" s="3"/>
      <c r="G219" s="7">
        <f t="shared" si="106"/>
        <v>0</v>
      </c>
      <c r="H219" s="7">
        <f t="shared" si="107"/>
        <v>0</v>
      </c>
      <c r="I219" s="7">
        <f t="shared" si="108"/>
        <v>0</v>
      </c>
      <c r="J219" s="7">
        <f t="shared" si="109"/>
        <v>0</v>
      </c>
      <c r="K219" s="7">
        <f t="shared" si="110"/>
        <v>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tr">
        <f t="shared" si="105"/>
        <v>Miriam</v>
      </c>
      <c r="B220" s="3"/>
      <c r="C220" s="3"/>
      <c r="D220" s="3"/>
      <c r="E220" s="3"/>
      <c r="F220" s="3"/>
      <c r="G220" s="7">
        <f t="shared" si="106"/>
        <v>0</v>
      </c>
      <c r="H220" s="7">
        <f t="shared" si="107"/>
        <v>0</v>
      </c>
      <c r="I220" s="7">
        <f t="shared" si="108"/>
        <v>0</v>
      </c>
      <c r="J220" s="7">
        <f t="shared" si="109"/>
        <v>0</v>
      </c>
      <c r="K220" s="7">
        <f t="shared" si="110"/>
        <v>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tr">
        <f t="shared" si="105"/>
        <v>Kevin</v>
      </c>
      <c r="B221" s="3"/>
      <c r="C221" s="3"/>
      <c r="D221" s="3"/>
      <c r="E221" s="3"/>
      <c r="F221" s="3"/>
      <c r="G221" s="7">
        <f t="shared" si="106"/>
        <v>0</v>
      </c>
      <c r="H221" s="7">
        <f t="shared" si="107"/>
        <v>0</v>
      </c>
      <c r="I221" s="7">
        <f t="shared" si="108"/>
        <v>0</v>
      </c>
      <c r="J221" s="7">
        <f t="shared" si="109"/>
        <v>0</v>
      </c>
      <c r="K221" s="7">
        <f t="shared" si="110"/>
        <v>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tr">
        <f t="shared" si="105"/>
        <v/>
      </c>
      <c r="B222" s="3"/>
      <c r="C222" s="3"/>
      <c r="D222" s="3"/>
      <c r="E222" s="3"/>
      <c r="F222" s="3"/>
      <c r="G222" s="7">
        <f t="shared" si="106"/>
        <v>0</v>
      </c>
      <c r="H222" s="7">
        <f t="shared" si="107"/>
        <v>0</v>
      </c>
      <c r="I222" s="7">
        <f t="shared" si="108"/>
        <v>0</v>
      </c>
      <c r="J222" s="7">
        <f t="shared" si="109"/>
        <v>0</v>
      </c>
      <c r="K222" s="7">
        <f t="shared" si="110"/>
        <v>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>
        <f>SUM(B214:B222)</f>
        <v>0</v>
      </c>
      <c r="C223" s="3"/>
      <c r="D223" s="7">
        <f t="shared" ref="D223:K223" si="111">SUM(D214:D222)</f>
        <v>0</v>
      </c>
      <c r="E223" s="7">
        <f t="shared" si="111"/>
        <v>0</v>
      </c>
      <c r="F223" s="7">
        <f t="shared" si="111"/>
        <v>0</v>
      </c>
      <c r="G223" s="7">
        <f t="shared" si="111"/>
        <v>0</v>
      </c>
      <c r="H223" s="7">
        <f t="shared" si="111"/>
        <v>0</v>
      </c>
      <c r="I223" s="7">
        <f t="shared" si="111"/>
        <v>0</v>
      </c>
      <c r="J223" s="7">
        <f t="shared" si="111"/>
        <v>0</v>
      </c>
      <c r="K223" s="7">
        <f t="shared" si="111"/>
        <v>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6">
      <c r="A226" s="3" t="s">
        <v>0</v>
      </c>
      <c r="B226" s="12">
        <f>B212+1</f>
        <v>46008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 t="s">
        <v>1</v>
      </c>
      <c r="C227" s="3" t="s">
        <v>2</v>
      </c>
      <c r="D227" s="3" t="s">
        <v>3</v>
      </c>
      <c r="E227" s="3" t="s">
        <v>4</v>
      </c>
      <c r="F227" s="3" t="s">
        <v>5</v>
      </c>
      <c r="G227" s="3" t="s">
        <v>6</v>
      </c>
      <c r="H227" s="3" t="s">
        <v>7</v>
      </c>
      <c r="I227" s="3" t="s">
        <v>8</v>
      </c>
      <c r="J227" s="3" t="s">
        <v>9</v>
      </c>
      <c r="K227" s="3" t="s">
        <v>10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tr">
        <f t="shared" ref="A228:A236" si="112">A214</f>
        <v>Mónica</v>
      </c>
      <c r="B228" s="3"/>
      <c r="C228" s="3"/>
      <c r="D228" s="3"/>
      <c r="E228" s="3"/>
      <c r="F228" s="3"/>
      <c r="G228" s="7">
        <f t="shared" ref="G228:G236" si="113">D228-E228</f>
        <v>0</v>
      </c>
      <c r="H228" s="7">
        <f t="shared" ref="H228:H236" si="114">G228+F228</f>
        <v>0</v>
      </c>
      <c r="I228" s="7">
        <f t="shared" ref="I228:I236" si="115">C228*500</f>
        <v>0</v>
      </c>
      <c r="J228" s="7">
        <f t="shared" ref="J228:J236" si="116">I228+E228+B228</f>
        <v>0</v>
      </c>
      <c r="K228" s="7">
        <f t="shared" ref="K228:K236" si="117">I228+B228</f>
        <v>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tr">
        <f t="shared" si="112"/>
        <v>Dani</v>
      </c>
      <c r="B229" s="7">
        <v>120.23</v>
      </c>
      <c r="C229" s="7">
        <v>2.0</v>
      </c>
      <c r="D229" s="7">
        <v>1712.57</v>
      </c>
      <c r="E229" s="7">
        <v>1712.57</v>
      </c>
      <c r="F229" s="7">
        <v>1.77</v>
      </c>
      <c r="G229" s="7">
        <f t="shared" si="113"/>
        <v>0</v>
      </c>
      <c r="H229" s="7">
        <f t="shared" si="114"/>
        <v>1.77</v>
      </c>
      <c r="I229" s="7">
        <f t="shared" si="115"/>
        <v>1000</v>
      </c>
      <c r="J229" s="7">
        <f t="shared" si="116"/>
        <v>2832.8</v>
      </c>
      <c r="K229" s="7">
        <f t="shared" si="117"/>
        <v>1120.23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tr">
        <f t="shared" si="112"/>
        <v>Sol </v>
      </c>
      <c r="B230" s="7">
        <v>66.71</v>
      </c>
      <c r="C230" s="3"/>
      <c r="D230" s="7">
        <v>45.53</v>
      </c>
      <c r="E230" s="7">
        <v>45.53</v>
      </c>
      <c r="F230" s="7">
        <v>0.18</v>
      </c>
      <c r="G230" s="7">
        <f t="shared" si="113"/>
        <v>0</v>
      </c>
      <c r="H230" s="7">
        <f t="shared" si="114"/>
        <v>0.18</v>
      </c>
      <c r="I230" s="7">
        <f t="shared" si="115"/>
        <v>0</v>
      </c>
      <c r="J230" s="7">
        <f t="shared" si="116"/>
        <v>112.24</v>
      </c>
      <c r="K230" s="7">
        <f t="shared" si="117"/>
        <v>66.71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tr">
        <f t="shared" si="112"/>
        <v>Katherine </v>
      </c>
      <c r="B231" s="3"/>
      <c r="C231" s="3"/>
      <c r="D231" s="3"/>
      <c r="E231" s="3"/>
      <c r="F231" s="3"/>
      <c r="G231" s="7">
        <f t="shared" si="113"/>
        <v>0</v>
      </c>
      <c r="H231" s="7">
        <f t="shared" si="114"/>
        <v>0</v>
      </c>
      <c r="I231" s="7">
        <f t="shared" si="115"/>
        <v>0</v>
      </c>
      <c r="J231" s="7">
        <f t="shared" si="116"/>
        <v>0</v>
      </c>
      <c r="K231" s="7">
        <f t="shared" si="117"/>
        <v>0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 t="str">
        <f t="shared" si="112"/>
        <v>Luisa </v>
      </c>
      <c r="B232" s="3"/>
      <c r="C232" s="3"/>
      <c r="D232" s="3"/>
      <c r="E232" s="3"/>
      <c r="F232" s="3"/>
      <c r="G232" s="7">
        <f t="shared" si="113"/>
        <v>0</v>
      </c>
      <c r="H232" s="7">
        <f t="shared" si="114"/>
        <v>0</v>
      </c>
      <c r="I232" s="7">
        <f t="shared" si="115"/>
        <v>0</v>
      </c>
      <c r="J232" s="7">
        <f t="shared" si="116"/>
        <v>0</v>
      </c>
      <c r="K232" s="7">
        <f t="shared" si="117"/>
        <v>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 t="str">
        <f t="shared" si="112"/>
        <v>Andrea</v>
      </c>
      <c r="B233" s="7">
        <v>66.0</v>
      </c>
      <c r="C233" s="7">
        <v>3.0</v>
      </c>
      <c r="D233" s="7">
        <v>1732.59</v>
      </c>
      <c r="E233" s="7">
        <v>1732.59</v>
      </c>
      <c r="F233" s="7">
        <v>-1.84</v>
      </c>
      <c r="G233" s="7">
        <f t="shared" si="113"/>
        <v>0</v>
      </c>
      <c r="H233" s="7">
        <f t="shared" si="114"/>
        <v>-1.84</v>
      </c>
      <c r="I233" s="7">
        <f t="shared" si="115"/>
        <v>1500</v>
      </c>
      <c r="J233" s="7">
        <f t="shared" si="116"/>
        <v>3298.59</v>
      </c>
      <c r="K233" s="7">
        <f t="shared" si="117"/>
        <v>1566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 t="str">
        <f t="shared" si="112"/>
        <v>Miriam</v>
      </c>
      <c r="B234" s="3"/>
      <c r="C234" s="3"/>
      <c r="D234" s="3"/>
      <c r="E234" s="3"/>
      <c r="F234" s="3"/>
      <c r="G234" s="7">
        <f t="shared" si="113"/>
        <v>0</v>
      </c>
      <c r="H234" s="7">
        <f t="shared" si="114"/>
        <v>0</v>
      </c>
      <c r="I234" s="7">
        <f t="shared" si="115"/>
        <v>0</v>
      </c>
      <c r="J234" s="7">
        <f t="shared" si="116"/>
        <v>0</v>
      </c>
      <c r="K234" s="7">
        <f t="shared" si="117"/>
        <v>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tr">
        <f t="shared" si="112"/>
        <v>Kevin</v>
      </c>
      <c r="B235" s="7"/>
      <c r="C235" s="7"/>
      <c r="D235" s="3"/>
      <c r="E235" s="7"/>
      <c r="F235" s="7"/>
      <c r="G235" s="7">
        <f t="shared" si="113"/>
        <v>0</v>
      </c>
      <c r="H235" s="7">
        <f t="shared" si="114"/>
        <v>0</v>
      </c>
      <c r="I235" s="7">
        <f t="shared" si="115"/>
        <v>0</v>
      </c>
      <c r="J235" s="7">
        <f t="shared" si="116"/>
        <v>0</v>
      </c>
      <c r="K235" s="7">
        <f t="shared" si="117"/>
        <v>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tr">
        <f t="shared" si="112"/>
        <v/>
      </c>
      <c r="B236" s="3"/>
      <c r="C236" s="3"/>
      <c r="D236" s="3"/>
      <c r="E236" s="3"/>
      <c r="F236" s="3"/>
      <c r="G236" s="7">
        <f t="shared" si="113"/>
        <v>0</v>
      </c>
      <c r="H236" s="7">
        <f t="shared" si="114"/>
        <v>0</v>
      </c>
      <c r="I236" s="7">
        <f t="shared" si="115"/>
        <v>0</v>
      </c>
      <c r="J236" s="7">
        <f t="shared" si="116"/>
        <v>0</v>
      </c>
      <c r="K236" s="7">
        <f t="shared" si="117"/>
        <v>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>
        <f>SUM(B228:B236)</f>
        <v>252.94</v>
      </c>
      <c r="C237" s="3"/>
      <c r="D237" s="7">
        <f t="shared" ref="D237:K237" si="118">SUM(D228:D236)</f>
        <v>3490.69</v>
      </c>
      <c r="E237" s="7">
        <f t="shared" si="118"/>
        <v>3490.69</v>
      </c>
      <c r="F237" s="7">
        <f t="shared" si="118"/>
        <v>0.11</v>
      </c>
      <c r="G237" s="7">
        <f t="shared" si="118"/>
        <v>0</v>
      </c>
      <c r="H237" s="7">
        <f t="shared" si="118"/>
        <v>0.11</v>
      </c>
      <c r="I237" s="7">
        <f t="shared" si="118"/>
        <v>2500</v>
      </c>
      <c r="J237" s="7">
        <f t="shared" si="118"/>
        <v>6243.63</v>
      </c>
      <c r="K237" s="7">
        <f t="shared" si="118"/>
        <v>2752.94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40">
      <c r="A240" s="3" t="s">
        <v>0</v>
      </c>
      <c r="B240" s="12">
        <f>B226+1</f>
        <v>46009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 t="s">
        <v>1</v>
      </c>
      <c r="C241" s="3" t="s">
        <v>2</v>
      </c>
      <c r="D241" s="3" t="s">
        <v>3</v>
      </c>
      <c r="E241" s="3" t="s">
        <v>4</v>
      </c>
      <c r="F241" s="3" t="s">
        <v>5</v>
      </c>
      <c r="G241" s="3" t="s">
        <v>6</v>
      </c>
      <c r="H241" s="3" t="s">
        <v>7</v>
      </c>
      <c r="I241" s="3" t="s">
        <v>8</v>
      </c>
      <c r="J241" s="3" t="s">
        <v>9</v>
      </c>
      <c r="K241" s="3" t="s">
        <v>10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tr">
        <f t="shared" ref="A242:A250" si="119">A228</f>
        <v>Mónica</v>
      </c>
      <c r="B242" s="3"/>
      <c r="C242" s="3"/>
      <c r="D242" s="3"/>
      <c r="E242" s="3"/>
      <c r="F242" s="3"/>
      <c r="G242" s="7">
        <f t="shared" ref="G242:G250" si="120">D242-E242</f>
        <v>0</v>
      </c>
      <c r="H242" s="7">
        <f t="shared" ref="H242:H250" si="121">G242+F242</f>
        <v>0</v>
      </c>
      <c r="I242" s="7">
        <f t="shared" ref="I242:I250" si="122">C242*500</f>
        <v>0</v>
      </c>
      <c r="J242" s="7">
        <f t="shared" ref="J242:J250" si="123">I242+E242+B242</f>
        <v>0</v>
      </c>
      <c r="K242" s="7">
        <f t="shared" ref="K242:K250" si="124">I242+B242</f>
        <v>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tr">
        <f t="shared" si="119"/>
        <v>Dani</v>
      </c>
      <c r="B243" s="7">
        <v>291.11</v>
      </c>
      <c r="C243" s="7">
        <v>2.0</v>
      </c>
      <c r="D243" s="7">
        <v>1654.47</v>
      </c>
      <c r="E243" s="7">
        <v>1654.47</v>
      </c>
      <c r="F243" s="7">
        <v>1.94</v>
      </c>
      <c r="G243" s="7">
        <f t="shared" si="120"/>
        <v>0</v>
      </c>
      <c r="H243" s="7">
        <f t="shared" si="121"/>
        <v>1.94</v>
      </c>
      <c r="I243" s="7">
        <f t="shared" si="122"/>
        <v>1000</v>
      </c>
      <c r="J243" s="7">
        <f t="shared" si="123"/>
        <v>2945.58</v>
      </c>
      <c r="K243" s="7">
        <f t="shared" si="124"/>
        <v>1291.11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tr">
        <f t="shared" si="119"/>
        <v>Sol </v>
      </c>
      <c r="B244" s="7">
        <v>39.06</v>
      </c>
      <c r="C244" s="3"/>
      <c r="D244" s="7">
        <v>65.97</v>
      </c>
      <c r="E244" s="7">
        <v>65.97</v>
      </c>
      <c r="F244" s="7">
        <v>-0.25</v>
      </c>
      <c r="G244" s="7">
        <f t="shared" si="120"/>
        <v>0</v>
      </c>
      <c r="H244" s="7">
        <f t="shared" si="121"/>
        <v>-0.25</v>
      </c>
      <c r="I244" s="7">
        <f t="shared" si="122"/>
        <v>0</v>
      </c>
      <c r="J244" s="7">
        <f t="shared" si="123"/>
        <v>105.03</v>
      </c>
      <c r="K244" s="7">
        <f t="shared" si="124"/>
        <v>39.06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 t="str">
        <f t="shared" si="119"/>
        <v>Katherine </v>
      </c>
      <c r="B245" s="3"/>
      <c r="C245" s="3"/>
      <c r="D245" s="3"/>
      <c r="E245" s="3"/>
      <c r="F245" s="3"/>
      <c r="G245" s="7">
        <f t="shared" si="120"/>
        <v>0</v>
      </c>
      <c r="H245" s="7">
        <f t="shared" si="121"/>
        <v>0</v>
      </c>
      <c r="I245" s="7">
        <f t="shared" si="122"/>
        <v>0</v>
      </c>
      <c r="J245" s="7">
        <f t="shared" si="123"/>
        <v>0</v>
      </c>
      <c r="K245" s="7">
        <f t="shared" si="124"/>
        <v>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 t="str">
        <f t="shared" si="119"/>
        <v>Luisa </v>
      </c>
      <c r="B246" s="3"/>
      <c r="C246" s="3"/>
      <c r="D246" s="3"/>
      <c r="E246" s="3"/>
      <c r="F246" s="3"/>
      <c r="G246" s="7">
        <f t="shared" si="120"/>
        <v>0</v>
      </c>
      <c r="H246" s="7">
        <f t="shared" si="121"/>
        <v>0</v>
      </c>
      <c r="I246" s="7">
        <f t="shared" si="122"/>
        <v>0</v>
      </c>
      <c r="J246" s="7">
        <f t="shared" si="123"/>
        <v>0</v>
      </c>
      <c r="K246" s="7">
        <f t="shared" si="124"/>
        <v>0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 t="str">
        <f t="shared" si="119"/>
        <v>Andrea</v>
      </c>
      <c r="B247" s="7">
        <v>25.0</v>
      </c>
      <c r="C247" s="7">
        <v>3.0</v>
      </c>
      <c r="D247" s="7">
        <v>1764.45</v>
      </c>
      <c r="E247" s="7">
        <v>1764.45</v>
      </c>
      <c r="F247" s="7">
        <v>1.01</v>
      </c>
      <c r="G247" s="7">
        <f t="shared" si="120"/>
        <v>0</v>
      </c>
      <c r="H247" s="7">
        <f t="shared" si="121"/>
        <v>1.01</v>
      </c>
      <c r="I247" s="7">
        <f t="shared" si="122"/>
        <v>1500</v>
      </c>
      <c r="J247" s="7">
        <f t="shared" si="123"/>
        <v>3289.45</v>
      </c>
      <c r="K247" s="7">
        <f t="shared" si="124"/>
        <v>1525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tr">
        <f t="shared" si="119"/>
        <v>Miriam</v>
      </c>
      <c r="B248" s="7"/>
      <c r="C248" s="7"/>
      <c r="D248" s="7"/>
      <c r="E248" s="7"/>
      <c r="F248" s="7"/>
      <c r="G248" s="7">
        <f t="shared" si="120"/>
        <v>0</v>
      </c>
      <c r="H248" s="7">
        <f t="shared" si="121"/>
        <v>0</v>
      </c>
      <c r="I248" s="7">
        <f t="shared" si="122"/>
        <v>0</v>
      </c>
      <c r="J248" s="7">
        <f t="shared" si="123"/>
        <v>0</v>
      </c>
      <c r="K248" s="7">
        <f t="shared" si="124"/>
        <v>0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tr">
        <f t="shared" si="119"/>
        <v>Kevin</v>
      </c>
      <c r="B249" s="3"/>
      <c r="C249" s="3"/>
      <c r="D249" s="3"/>
      <c r="E249" s="3"/>
      <c r="F249" s="3"/>
      <c r="G249" s="7">
        <f t="shared" si="120"/>
        <v>0</v>
      </c>
      <c r="H249" s="7">
        <f t="shared" si="121"/>
        <v>0</v>
      </c>
      <c r="I249" s="7">
        <f t="shared" si="122"/>
        <v>0</v>
      </c>
      <c r="J249" s="7">
        <f t="shared" si="123"/>
        <v>0</v>
      </c>
      <c r="K249" s="7">
        <f t="shared" si="124"/>
        <v>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tr">
        <f t="shared" si="119"/>
        <v/>
      </c>
      <c r="B250" s="3"/>
      <c r="C250" s="3"/>
      <c r="D250" s="3"/>
      <c r="E250" s="3"/>
      <c r="F250" s="3"/>
      <c r="G250" s="7">
        <f t="shared" si="120"/>
        <v>0</v>
      </c>
      <c r="H250" s="7">
        <f t="shared" si="121"/>
        <v>0</v>
      </c>
      <c r="I250" s="7">
        <f t="shared" si="122"/>
        <v>0</v>
      </c>
      <c r="J250" s="7">
        <f t="shared" si="123"/>
        <v>0</v>
      </c>
      <c r="K250" s="7">
        <f t="shared" si="124"/>
        <v>0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7">
        <f>SUM(B242:B250)</f>
        <v>355.17</v>
      </c>
      <c r="C251" s="3"/>
      <c r="D251" s="7">
        <f t="shared" ref="D251:K251" si="125">SUM(D242:D250)</f>
        <v>3484.89</v>
      </c>
      <c r="E251" s="7">
        <f t="shared" si="125"/>
        <v>3484.89</v>
      </c>
      <c r="F251" s="7">
        <f t="shared" si="125"/>
        <v>2.7</v>
      </c>
      <c r="G251" s="7">
        <f t="shared" si="125"/>
        <v>0</v>
      </c>
      <c r="H251" s="7">
        <f t="shared" si="125"/>
        <v>2.7</v>
      </c>
      <c r="I251" s="7">
        <f t="shared" si="125"/>
        <v>2500</v>
      </c>
      <c r="J251" s="7">
        <f t="shared" si="125"/>
        <v>6340.06</v>
      </c>
      <c r="K251" s="7">
        <f t="shared" si="125"/>
        <v>2855.17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4">
      <c r="A254" s="3" t="s">
        <v>0</v>
      </c>
      <c r="B254" s="12">
        <f>B240+1</f>
        <v>46010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 t="s">
        <v>1</v>
      </c>
      <c r="C255" s="3" t="s">
        <v>2</v>
      </c>
      <c r="D255" s="3" t="s">
        <v>3</v>
      </c>
      <c r="E255" s="3" t="s">
        <v>4</v>
      </c>
      <c r="F255" s="3" t="s">
        <v>5</v>
      </c>
      <c r="G255" s="3" t="s">
        <v>6</v>
      </c>
      <c r="H255" s="3" t="s">
        <v>7</v>
      </c>
      <c r="I255" s="3" t="s">
        <v>8</v>
      </c>
      <c r="J255" s="3" t="s">
        <v>9</v>
      </c>
      <c r="K255" s="3" t="s">
        <v>10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tr">
        <f t="shared" ref="A256:A264" si="126">A242</f>
        <v>Mónica</v>
      </c>
      <c r="B256" s="3"/>
      <c r="C256" s="3"/>
      <c r="D256" s="3"/>
      <c r="E256" s="3"/>
      <c r="F256" s="3"/>
      <c r="G256" s="7">
        <f t="shared" ref="G256:G264" si="127">D256-E256</f>
        <v>0</v>
      </c>
      <c r="H256" s="7">
        <f t="shared" ref="H256:H264" si="128">G256+F256</f>
        <v>0</v>
      </c>
      <c r="I256" s="7">
        <f t="shared" ref="I256:I264" si="129">C256*500</f>
        <v>0</v>
      </c>
      <c r="J256" s="7">
        <f t="shared" ref="J256:J264" si="130">I256+E256+B256</f>
        <v>0</v>
      </c>
      <c r="K256" s="7">
        <f t="shared" ref="K256:K264" si="131">I256+B256</f>
        <v>0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tr">
        <f t="shared" si="126"/>
        <v>Dani</v>
      </c>
      <c r="B257" s="7">
        <v>306.82</v>
      </c>
      <c r="C257" s="7">
        <v>2.0</v>
      </c>
      <c r="D257" s="7">
        <v>1317.54</v>
      </c>
      <c r="E257" s="7">
        <v>1317.54</v>
      </c>
      <c r="F257" s="7">
        <v>2.13</v>
      </c>
      <c r="G257" s="7">
        <f t="shared" si="127"/>
        <v>0</v>
      </c>
      <c r="H257" s="7">
        <f t="shared" si="128"/>
        <v>2.13</v>
      </c>
      <c r="I257" s="7">
        <f t="shared" si="129"/>
        <v>1000</v>
      </c>
      <c r="J257" s="7">
        <f t="shared" si="130"/>
        <v>2624.36</v>
      </c>
      <c r="K257" s="7">
        <f t="shared" si="131"/>
        <v>1306.82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tr">
        <f t="shared" si="126"/>
        <v>Sol </v>
      </c>
      <c r="B258" s="7">
        <v>114.5</v>
      </c>
      <c r="C258" s="3"/>
      <c r="D258" s="7">
        <v>217.0</v>
      </c>
      <c r="E258" s="7">
        <v>217.0</v>
      </c>
      <c r="F258" s="7">
        <v>0.17</v>
      </c>
      <c r="G258" s="7">
        <f t="shared" si="127"/>
        <v>0</v>
      </c>
      <c r="H258" s="7">
        <f t="shared" si="128"/>
        <v>0.17</v>
      </c>
      <c r="I258" s="7">
        <f t="shared" si="129"/>
        <v>0</v>
      </c>
      <c r="J258" s="7">
        <f t="shared" si="130"/>
        <v>331.5</v>
      </c>
      <c r="K258" s="7">
        <f t="shared" si="131"/>
        <v>114.5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 t="str">
        <f t="shared" si="126"/>
        <v>Katherine </v>
      </c>
      <c r="B259" s="3"/>
      <c r="C259" s="3"/>
      <c r="D259" s="3"/>
      <c r="E259" s="3"/>
      <c r="F259" s="3"/>
      <c r="G259" s="7">
        <f t="shared" si="127"/>
        <v>0</v>
      </c>
      <c r="H259" s="7">
        <f t="shared" si="128"/>
        <v>0</v>
      </c>
      <c r="I259" s="7">
        <f t="shared" si="129"/>
        <v>0</v>
      </c>
      <c r="J259" s="7">
        <f t="shared" si="130"/>
        <v>0</v>
      </c>
      <c r="K259" s="7">
        <f t="shared" si="131"/>
        <v>0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 t="str">
        <f t="shared" si="126"/>
        <v>Luisa </v>
      </c>
      <c r="B260" s="3"/>
      <c r="C260" s="3"/>
      <c r="D260" s="3"/>
      <c r="E260" s="3"/>
      <c r="F260" s="3"/>
      <c r="G260" s="7">
        <f t="shared" si="127"/>
        <v>0</v>
      </c>
      <c r="H260" s="7">
        <f t="shared" si="128"/>
        <v>0</v>
      </c>
      <c r="I260" s="7">
        <f t="shared" si="129"/>
        <v>0</v>
      </c>
      <c r="J260" s="7">
        <f t="shared" si="130"/>
        <v>0</v>
      </c>
      <c r="K260" s="7">
        <f t="shared" si="131"/>
        <v>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tr">
        <f t="shared" si="126"/>
        <v>Andrea</v>
      </c>
      <c r="B261" s="7">
        <v>471.5</v>
      </c>
      <c r="C261" s="7">
        <v>2.0</v>
      </c>
      <c r="D261" s="7">
        <v>1395.98</v>
      </c>
      <c r="E261" s="7">
        <v>1395.98</v>
      </c>
      <c r="F261" s="7">
        <v>-3.81</v>
      </c>
      <c r="G261" s="7">
        <f t="shared" si="127"/>
        <v>0</v>
      </c>
      <c r="H261" s="7">
        <f t="shared" si="128"/>
        <v>-3.81</v>
      </c>
      <c r="I261" s="7">
        <f t="shared" si="129"/>
        <v>1000</v>
      </c>
      <c r="J261" s="7">
        <f t="shared" si="130"/>
        <v>2867.48</v>
      </c>
      <c r="K261" s="7">
        <f t="shared" si="131"/>
        <v>1471.5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 t="str">
        <f t="shared" si="126"/>
        <v>Miriam</v>
      </c>
      <c r="B262" s="7"/>
      <c r="C262" s="7"/>
      <c r="D262" s="7"/>
      <c r="E262" s="7"/>
      <c r="F262" s="7"/>
      <c r="G262" s="7">
        <f t="shared" si="127"/>
        <v>0</v>
      </c>
      <c r="H262" s="7">
        <f t="shared" si="128"/>
        <v>0</v>
      </c>
      <c r="I262" s="7">
        <f t="shared" si="129"/>
        <v>0</v>
      </c>
      <c r="J262" s="7">
        <f t="shared" si="130"/>
        <v>0</v>
      </c>
      <c r="K262" s="7">
        <f t="shared" si="131"/>
        <v>0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tr">
        <f t="shared" si="126"/>
        <v>Kevin</v>
      </c>
      <c r="B263" s="3"/>
      <c r="C263" s="3"/>
      <c r="D263" s="3"/>
      <c r="E263" s="3"/>
      <c r="F263" s="3"/>
      <c r="G263" s="7">
        <f t="shared" si="127"/>
        <v>0</v>
      </c>
      <c r="H263" s="7">
        <f t="shared" si="128"/>
        <v>0</v>
      </c>
      <c r="I263" s="7">
        <f t="shared" si="129"/>
        <v>0</v>
      </c>
      <c r="J263" s="7">
        <f t="shared" si="130"/>
        <v>0</v>
      </c>
      <c r="K263" s="7">
        <f t="shared" si="131"/>
        <v>0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tr">
        <f t="shared" si="126"/>
        <v/>
      </c>
      <c r="B264" s="3"/>
      <c r="C264" s="3"/>
      <c r="D264" s="3"/>
      <c r="E264" s="3"/>
      <c r="F264" s="3"/>
      <c r="G264" s="7">
        <f t="shared" si="127"/>
        <v>0</v>
      </c>
      <c r="H264" s="7">
        <f t="shared" si="128"/>
        <v>0</v>
      </c>
      <c r="I264" s="7">
        <f t="shared" si="129"/>
        <v>0</v>
      </c>
      <c r="J264" s="7">
        <f t="shared" si="130"/>
        <v>0</v>
      </c>
      <c r="K264" s="7">
        <f t="shared" si="131"/>
        <v>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7">
        <f>SUM(B256:B264)</f>
        <v>892.82</v>
      </c>
      <c r="C265" s="3"/>
      <c r="D265" s="7">
        <f t="shared" ref="D265:K265" si="132">SUM(D256:D264)</f>
        <v>2930.52</v>
      </c>
      <c r="E265" s="7">
        <f t="shared" si="132"/>
        <v>2930.52</v>
      </c>
      <c r="F265" s="7">
        <f t="shared" si="132"/>
        <v>-1.51</v>
      </c>
      <c r="G265" s="7">
        <f t="shared" si="132"/>
        <v>0</v>
      </c>
      <c r="H265" s="7">
        <f t="shared" si="132"/>
        <v>-1.51</v>
      </c>
      <c r="I265" s="7">
        <f t="shared" si="132"/>
        <v>2000</v>
      </c>
      <c r="J265" s="7">
        <f t="shared" si="132"/>
        <v>5823.34</v>
      </c>
      <c r="K265" s="7">
        <f t="shared" si="132"/>
        <v>2892.82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8">
      <c r="A268" s="3" t="s">
        <v>0</v>
      </c>
      <c r="B268" s="12">
        <f>B254+1</f>
        <v>46011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 t="s">
        <v>1</v>
      </c>
      <c r="C269" s="3" t="s">
        <v>2</v>
      </c>
      <c r="D269" s="3" t="s">
        <v>3</v>
      </c>
      <c r="E269" s="3" t="s">
        <v>4</v>
      </c>
      <c r="F269" s="3" t="s">
        <v>5</v>
      </c>
      <c r="G269" s="3" t="s">
        <v>6</v>
      </c>
      <c r="H269" s="3" t="s">
        <v>7</v>
      </c>
      <c r="I269" s="3" t="s">
        <v>8</v>
      </c>
      <c r="J269" s="3" t="s">
        <v>9</v>
      </c>
      <c r="K269" s="3" t="s">
        <v>10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tr">
        <f t="shared" ref="A270:A278" si="133">A256</f>
        <v>Mónica</v>
      </c>
      <c r="B270" s="11">
        <v>1052.99</v>
      </c>
      <c r="C270" s="11">
        <v>4.0</v>
      </c>
      <c r="D270" s="11">
        <v>3862.59</v>
      </c>
      <c r="E270" s="11">
        <v>3862.59</v>
      </c>
      <c r="F270" s="7"/>
      <c r="G270" s="7">
        <f t="shared" ref="G270:G278" si="134">D270-E270</f>
        <v>0</v>
      </c>
      <c r="H270" s="7">
        <f t="shared" ref="H270:H278" si="135">G270+F270</f>
        <v>0</v>
      </c>
      <c r="I270" s="7">
        <f t="shared" ref="I270:I278" si="136">C270*500</f>
        <v>2000</v>
      </c>
      <c r="J270" s="7">
        <f t="shared" ref="J270:J278" si="137">I270+E270+B270</f>
        <v>6915.58</v>
      </c>
      <c r="K270" s="7">
        <f t="shared" ref="K270:K278" si="138">I270+B270</f>
        <v>3052.99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tr">
        <f t="shared" si="133"/>
        <v>Dani</v>
      </c>
      <c r="B271" s="3"/>
      <c r="C271" s="3"/>
      <c r="D271" s="3"/>
      <c r="E271" s="3"/>
      <c r="F271" s="3"/>
      <c r="G271" s="7">
        <f t="shared" si="134"/>
        <v>0</v>
      </c>
      <c r="H271" s="7">
        <f t="shared" si="135"/>
        <v>0</v>
      </c>
      <c r="I271" s="7">
        <f t="shared" si="136"/>
        <v>0</v>
      </c>
      <c r="J271" s="7">
        <f t="shared" si="137"/>
        <v>0</v>
      </c>
      <c r="K271" s="7">
        <f t="shared" si="138"/>
        <v>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tr">
        <f t="shared" si="133"/>
        <v>Sol </v>
      </c>
      <c r="B272" s="8"/>
      <c r="C272" s="8"/>
      <c r="D272" s="8"/>
      <c r="E272" s="8"/>
      <c r="F272" s="8"/>
      <c r="G272" s="7">
        <f t="shared" si="134"/>
        <v>0</v>
      </c>
      <c r="H272" s="7">
        <f t="shared" si="135"/>
        <v>0</v>
      </c>
      <c r="I272" s="7">
        <f t="shared" si="136"/>
        <v>0</v>
      </c>
      <c r="J272" s="7">
        <f t="shared" si="137"/>
        <v>0</v>
      </c>
      <c r="K272" s="7">
        <f t="shared" si="138"/>
        <v>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 t="str">
        <f t="shared" si="133"/>
        <v>Katherine </v>
      </c>
      <c r="B273" s="8"/>
      <c r="C273" s="8"/>
      <c r="D273" s="8"/>
      <c r="E273" s="8"/>
      <c r="F273" s="8"/>
      <c r="G273" s="7">
        <f t="shared" si="134"/>
        <v>0</v>
      </c>
      <c r="H273" s="7">
        <f t="shared" si="135"/>
        <v>0</v>
      </c>
      <c r="I273" s="7">
        <f t="shared" si="136"/>
        <v>0</v>
      </c>
      <c r="J273" s="7">
        <f t="shared" si="137"/>
        <v>0</v>
      </c>
      <c r="K273" s="7">
        <f t="shared" si="138"/>
        <v>0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 t="str">
        <f t="shared" si="133"/>
        <v>Luisa </v>
      </c>
      <c r="B274" s="8"/>
      <c r="C274" s="8"/>
      <c r="D274" s="8"/>
      <c r="E274" s="8"/>
      <c r="F274" s="8"/>
      <c r="G274" s="7">
        <f t="shared" si="134"/>
        <v>0</v>
      </c>
      <c r="H274" s="7">
        <f t="shared" si="135"/>
        <v>0</v>
      </c>
      <c r="I274" s="7">
        <f t="shared" si="136"/>
        <v>0</v>
      </c>
      <c r="J274" s="7">
        <f t="shared" si="137"/>
        <v>0</v>
      </c>
      <c r="K274" s="7">
        <f t="shared" si="138"/>
        <v>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 t="str">
        <f t="shared" si="133"/>
        <v>Andrea</v>
      </c>
      <c r="B275" s="3"/>
      <c r="C275" s="3"/>
      <c r="D275" s="3"/>
      <c r="E275" s="3"/>
      <c r="F275" s="3"/>
      <c r="G275" s="7">
        <f t="shared" si="134"/>
        <v>0</v>
      </c>
      <c r="H275" s="7">
        <f t="shared" si="135"/>
        <v>0</v>
      </c>
      <c r="I275" s="7">
        <f t="shared" si="136"/>
        <v>0</v>
      </c>
      <c r="J275" s="7">
        <f t="shared" si="137"/>
        <v>0</v>
      </c>
      <c r="K275" s="7">
        <f t="shared" si="138"/>
        <v>0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 t="str">
        <f t="shared" si="133"/>
        <v>Miriam</v>
      </c>
      <c r="B276" s="3"/>
      <c r="C276" s="3"/>
      <c r="D276" s="3"/>
      <c r="E276" s="3"/>
      <c r="F276" s="3"/>
      <c r="G276" s="7">
        <f t="shared" si="134"/>
        <v>0</v>
      </c>
      <c r="H276" s="7">
        <f t="shared" si="135"/>
        <v>0</v>
      </c>
      <c r="I276" s="7">
        <f t="shared" si="136"/>
        <v>0</v>
      </c>
      <c r="J276" s="7">
        <f t="shared" si="137"/>
        <v>0</v>
      </c>
      <c r="K276" s="7">
        <f t="shared" si="138"/>
        <v>0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tr">
        <f t="shared" si="133"/>
        <v>Kevin</v>
      </c>
      <c r="B277" s="3"/>
      <c r="C277" s="3"/>
      <c r="D277" s="3"/>
      <c r="E277" s="3"/>
      <c r="F277" s="3"/>
      <c r="G277" s="7">
        <f t="shared" si="134"/>
        <v>0</v>
      </c>
      <c r="H277" s="7">
        <f t="shared" si="135"/>
        <v>0</v>
      </c>
      <c r="I277" s="7">
        <f t="shared" si="136"/>
        <v>0</v>
      </c>
      <c r="J277" s="7">
        <f t="shared" si="137"/>
        <v>0</v>
      </c>
      <c r="K277" s="7">
        <f t="shared" si="138"/>
        <v>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tr">
        <f t="shared" si="133"/>
        <v/>
      </c>
      <c r="B278" s="3"/>
      <c r="C278" s="3"/>
      <c r="D278" s="3"/>
      <c r="E278" s="3"/>
      <c r="F278" s="3"/>
      <c r="G278" s="7">
        <f t="shared" si="134"/>
        <v>0</v>
      </c>
      <c r="H278" s="7">
        <f t="shared" si="135"/>
        <v>0</v>
      </c>
      <c r="I278" s="7">
        <f t="shared" si="136"/>
        <v>0</v>
      </c>
      <c r="J278" s="7">
        <f t="shared" si="137"/>
        <v>0</v>
      </c>
      <c r="K278" s="7">
        <f t="shared" si="138"/>
        <v>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7">
        <f>SUM(B270:B278)</f>
        <v>1052.99</v>
      </c>
      <c r="C279" s="3"/>
      <c r="D279" s="7">
        <f t="shared" ref="D279:K279" si="139">SUM(D270:D278)</f>
        <v>3862.59</v>
      </c>
      <c r="E279" s="7">
        <f t="shared" si="139"/>
        <v>3862.59</v>
      </c>
      <c r="F279" s="7">
        <f t="shared" si="139"/>
        <v>0</v>
      </c>
      <c r="G279" s="7">
        <f t="shared" si="139"/>
        <v>0</v>
      </c>
      <c r="H279" s="7">
        <f t="shared" si="139"/>
        <v>0</v>
      </c>
      <c r="I279" s="7">
        <f t="shared" si="139"/>
        <v>2000</v>
      </c>
      <c r="J279" s="7">
        <f t="shared" si="139"/>
        <v>6915.58</v>
      </c>
      <c r="K279" s="7">
        <f t="shared" si="139"/>
        <v>3052.99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2">
      <c r="A282" s="3" t="s">
        <v>0</v>
      </c>
      <c r="B282" s="12">
        <f>B268+1</f>
        <v>46012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 t="s">
        <v>1</v>
      </c>
      <c r="C283" s="3" t="s">
        <v>2</v>
      </c>
      <c r="D283" s="3" t="s">
        <v>3</v>
      </c>
      <c r="E283" s="3" t="s">
        <v>4</v>
      </c>
      <c r="F283" s="3" t="s">
        <v>5</v>
      </c>
      <c r="G283" s="3" t="s">
        <v>6</v>
      </c>
      <c r="H283" s="3" t="s">
        <v>7</v>
      </c>
      <c r="I283" s="3" t="s">
        <v>8</v>
      </c>
      <c r="J283" s="3" t="s">
        <v>9</v>
      </c>
      <c r="K283" s="3" t="s">
        <v>10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tr">
        <f t="shared" ref="A284:A292" si="140">A270</f>
        <v>Mónica</v>
      </c>
      <c r="B284" s="11">
        <v>466.9</v>
      </c>
      <c r="C284" s="11">
        <v>6.0</v>
      </c>
      <c r="D284" s="11">
        <v>3942.62</v>
      </c>
      <c r="E284" s="11">
        <v>3942.62</v>
      </c>
      <c r="F284" s="7">
        <v>0.0</v>
      </c>
      <c r="G284" s="7">
        <f t="shared" ref="G284:G292" si="141">D284-E284</f>
        <v>0</v>
      </c>
      <c r="H284" s="7">
        <f t="shared" ref="H284:H292" si="142">G284+F284</f>
        <v>0</v>
      </c>
      <c r="I284" s="7">
        <f t="shared" ref="I284:I292" si="143">C284*500</f>
        <v>3000</v>
      </c>
      <c r="J284" s="7">
        <f t="shared" ref="J284:J292" si="144">I284+E284+B284</f>
        <v>7409.52</v>
      </c>
      <c r="K284" s="7">
        <f t="shared" ref="K284:K292" si="145">I284+B284</f>
        <v>3466.9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tr">
        <f t="shared" si="140"/>
        <v>Dani</v>
      </c>
      <c r="B285" s="3"/>
      <c r="C285" s="3"/>
      <c r="D285" s="3"/>
      <c r="E285" s="3"/>
      <c r="F285" s="3"/>
      <c r="G285" s="7">
        <f t="shared" si="141"/>
        <v>0</v>
      </c>
      <c r="H285" s="7">
        <f t="shared" si="142"/>
        <v>0</v>
      </c>
      <c r="I285" s="7">
        <f t="shared" si="143"/>
        <v>0</v>
      </c>
      <c r="J285" s="7">
        <f t="shared" si="144"/>
        <v>0</v>
      </c>
      <c r="K285" s="7">
        <f t="shared" si="145"/>
        <v>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tr">
        <f t="shared" si="140"/>
        <v>Sol </v>
      </c>
      <c r="B286" s="8"/>
      <c r="C286" s="8"/>
      <c r="D286" s="8"/>
      <c r="E286" s="8"/>
      <c r="F286" s="8"/>
      <c r="G286" s="7">
        <f t="shared" si="141"/>
        <v>0</v>
      </c>
      <c r="H286" s="7">
        <f t="shared" si="142"/>
        <v>0</v>
      </c>
      <c r="I286" s="7">
        <f t="shared" si="143"/>
        <v>0</v>
      </c>
      <c r="J286" s="7">
        <f t="shared" si="144"/>
        <v>0</v>
      </c>
      <c r="K286" s="7">
        <f t="shared" si="145"/>
        <v>0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 t="str">
        <f t="shared" si="140"/>
        <v>Katherine </v>
      </c>
      <c r="B287" s="3"/>
      <c r="C287" s="3"/>
      <c r="D287" s="3"/>
      <c r="E287" s="3"/>
      <c r="F287" s="3"/>
      <c r="G287" s="7">
        <f t="shared" si="141"/>
        <v>0</v>
      </c>
      <c r="H287" s="7">
        <f t="shared" si="142"/>
        <v>0</v>
      </c>
      <c r="I287" s="7">
        <f t="shared" si="143"/>
        <v>0</v>
      </c>
      <c r="J287" s="7">
        <f t="shared" si="144"/>
        <v>0</v>
      </c>
      <c r="K287" s="7">
        <f t="shared" si="145"/>
        <v>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 t="str">
        <f t="shared" si="140"/>
        <v>Luisa </v>
      </c>
      <c r="B288" s="3"/>
      <c r="C288" s="3"/>
      <c r="D288" s="3"/>
      <c r="E288" s="3"/>
      <c r="F288" s="3"/>
      <c r="G288" s="7">
        <f t="shared" si="141"/>
        <v>0</v>
      </c>
      <c r="H288" s="7">
        <f t="shared" si="142"/>
        <v>0</v>
      </c>
      <c r="I288" s="7">
        <f t="shared" si="143"/>
        <v>0</v>
      </c>
      <c r="J288" s="7">
        <f t="shared" si="144"/>
        <v>0</v>
      </c>
      <c r="K288" s="7">
        <f t="shared" si="145"/>
        <v>0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 t="str">
        <f t="shared" si="140"/>
        <v>Andrea</v>
      </c>
      <c r="B289" s="3"/>
      <c r="C289" s="3"/>
      <c r="D289" s="3"/>
      <c r="E289" s="3"/>
      <c r="F289" s="3"/>
      <c r="G289" s="7">
        <f t="shared" si="141"/>
        <v>0</v>
      </c>
      <c r="H289" s="7">
        <f t="shared" si="142"/>
        <v>0</v>
      </c>
      <c r="I289" s="7">
        <f t="shared" si="143"/>
        <v>0</v>
      </c>
      <c r="J289" s="7">
        <f t="shared" si="144"/>
        <v>0</v>
      </c>
      <c r="K289" s="7">
        <f t="shared" si="145"/>
        <v>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 t="str">
        <f t="shared" si="140"/>
        <v>Miriam</v>
      </c>
      <c r="B290" s="7"/>
      <c r="C290" s="3"/>
      <c r="D290" s="7"/>
      <c r="E290" s="7"/>
      <c r="F290" s="7"/>
      <c r="G290" s="7">
        <f t="shared" si="141"/>
        <v>0</v>
      </c>
      <c r="H290" s="7">
        <f t="shared" si="142"/>
        <v>0</v>
      </c>
      <c r="I290" s="7">
        <f t="shared" si="143"/>
        <v>0</v>
      </c>
      <c r="J290" s="7">
        <f t="shared" si="144"/>
        <v>0</v>
      </c>
      <c r="K290" s="7">
        <f t="shared" si="145"/>
        <v>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tr">
        <f t="shared" si="140"/>
        <v>Kevin</v>
      </c>
      <c r="B291" s="3"/>
      <c r="C291" s="3"/>
      <c r="D291" s="3"/>
      <c r="E291" s="3"/>
      <c r="F291" s="3"/>
      <c r="G291" s="7">
        <f t="shared" si="141"/>
        <v>0</v>
      </c>
      <c r="H291" s="7">
        <f t="shared" si="142"/>
        <v>0</v>
      </c>
      <c r="I291" s="7">
        <f t="shared" si="143"/>
        <v>0</v>
      </c>
      <c r="J291" s="7">
        <f t="shared" si="144"/>
        <v>0</v>
      </c>
      <c r="K291" s="7">
        <f t="shared" si="145"/>
        <v>0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tr">
        <f t="shared" si="140"/>
        <v/>
      </c>
      <c r="B292" s="3"/>
      <c r="C292" s="3"/>
      <c r="D292" s="3"/>
      <c r="E292" s="3"/>
      <c r="F292" s="3"/>
      <c r="G292" s="7">
        <f t="shared" si="141"/>
        <v>0</v>
      </c>
      <c r="H292" s="7">
        <f t="shared" si="142"/>
        <v>0</v>
      </c>
      <c r="I292" s="7">
        <f t="shared" si="143"/>
        <v>0</v>
      </c>
      <c r="J292" s="7">
        <f t="shared" si="144"/>
        <v>0</v>
      </c>
      <c r="K292" s="7">
        <f t="shared" si="145"/>
        <v>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7">
        <f>SUM(B284:B292)</f>
        <v>466.9</v>
      </c>
      <c r="C293" s="3"/>
      <c r="D293" s="7">
        <f t="shared" ref="D293:K293" si="146">SUM(D284:D292)</f>
        <v>3942.62</v>
      </c>
      <c r="E293" s="7">
        <f t="shared" si="146"/>
        <v>3942.62</v>
      </c>
      <c r="F293" s="7">
        <f t="shared" si="146"/>
        <v>0</v>
      </c>
      <c r="G293" s="7">
        <f t="shared" si="146"/>
        <v>0</v>
      </c>
      <c r="H293" s="7">
        <f t="shared" si="146"/>
        <v>0</v>
      </c>
      <c r="I293" s="7">
        <f t="shared" si="146"/>
        <v>3000</v>
      </c>
      <c r="J293" s="7">
        <f t="shared" si="146"/>
        <v>7409.52</v>
      </c>
      <c r="K293" s="7">
        <f t="shared" si="146"/>
        <v>3466.9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6">
      <c r="A296" s="3" t="s">
        <v>0</v>
      </c>
      <c r="B296" s="12">
        <f>B282+1</f>
        <v>46013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 t="s">
        <v>1</v>
      </c>
      <c r="C297" s="3" t="s">
        <v>2</v>
      </c>
      <c r="D297" s="3" t="s">
        <v>3</v>
      </c>
      <c r="E297" s="3" t="s">
        <v>4</v>
      </c>
      <c r="F297" s="3" t="s">
        <v>5</v>
      </c>
      <c r="G297" s="3" t="s">
        <v>6</v>
      </c>
      <c r="H297" s="3" t="s">
        <v>7</v>
      </c>
      <c r="I297" s="3" t="s">
        <v>8</v>
      </c>
      <c r="J297" s="3" t="s">
        <v>9</v>
      </c>
      <c r="K297" s="3" t="s">
        <v>10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tr">
        <f t="shared" ref="A298:A306" si="147">A284</f>
        <v>Mónica</v>
      </c>
      <c r="B298" s="3"/>
      <c r="C298" s="3"/>
      <c r="D298" s="3"/>
      <c r="E298" s="3"/>
      <c r="F298" s="3"/>
      <c r="G298" s="7">
        <f t="shared" ref="G298:G306" si="148">D298-E298</f>
        <v>0</v>
      </c>
      <c r="H298" s="7">
        <f t="shared" ref="H298:H306" si="149">G298+F298</f>
        <v>0</v>
      </c>
      <c r="I298" s="7">
        <f t="shared" ref="I298:I306" si="150">C298*500</f>
        <v>0</v>
      </c>
      <c r="J298" s="7">
        <f t="shared" ref="J298:J306" si="151">I298+E298+B298</f>
        <v>0</v>
      </c>
      <c r="K298" s="7">
        <f t="shared" ref="K298:K306" si="152">I298+B298</f>
        <v>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tr">
        <f t="shared" si="147"/>
        <v>Dani</v>
      </c>
      <c r="B299" s="7">
        <v>216.97</v>
      </c>
      <c r="C299" s="7">
        <v>2.0</v>
      </c>
      <c r="D299" s="7">
        <v>1342.57</v>
      </c>
      <c r="E299" s="7">
        <v>1342.57</v>
      </c>
      <c r="F299" s="7">
        <v>0.41</v>
      </c>
      <c r="G299" s="7">
        <f t="shared" si="148"/>
        <v>0</v>
      </c>
      <c r="H299" s="7">
        <f t="shared" si="149"/>
        <v>0.41</v>
      </c>
      <c r="I299" s="7">
        <f t="shared" si="150"/>
        <v>1000</v>
      </c>
      <c r="J299" s="7">
        <f t="shared" si="151"/>
        <v>2559.54</v>
      </c>
      <c r="K299" s="7">
        <f t="shared" si="152"/>
        <v>1216.97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tr">
        <f t="shared" si="147"/>
        <v>Sol </v>
      </c>
      <c r="B300" s="7">
        <v>98.16</v>
      </c>
      <c r="C300" s="3"/>
      <c r="D300" s="7">
        <v>191.43</v>
      </c>
      <c r="E300" s="7">
        <v>191.43</v>
      </c>
      <c r="F300" s="7">
        <v>0.04</v>
      </c>
      <c r="G300" s="7">
        <f t="shared" si="148"/>
        <v>0</v>
      </c>
      <c r="H300" s="7">
        <f t="shared" si="149"/>
        <v>0.04</v>
      </c>
      <c r="I300" s="7">
        <f t="shared" si="150"/>
        <v>0</v>
      </c>
      <c r="J300" s="7">
        <f t="shared" si="151"/>
        <v>289.59</v>
      </c>
      <c r="K300" s="7">
        <f t="shared" si="152"/>
        <v>98.16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 t="str">
        <f t="shared" si="147"/>
        <v>Katherine </v>
      </c>
      <c r="B301" s="3"/>
      <c r="C301" s="3"/>
      <c r="D301" s="3"/>
      <c r="E301" s="3"/>
      <c r="F301" s="3"/>
      <c r="G301" s="7">
        <f t="shared" si="148"/>
        <v>0</v>
      </c>
      <c r="H301" s="7">
        <f t="shared" si="149"/>
        <v>0</v>
      </c>
      <c r="I301" s="7">
        <f t="shared" si="150"/>
        <v>0</v>
      </c>
      <c r="J301" s="7">
        <f t="shared" si="151"/>
        <v>0</v>
      </c>
      <c r="K301" s="7">
        <f t="shared" si="152"/>
        <v>0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 t="str">
        <f t="shared" si="147"/>
        <v>Luisa </v>
      </c>
      <c r="B302" s="3"/>
      <c r="C302" s="3"/>
      <c r="D302" s="3"/>
      <c r="E302" s="3"/>
      <c r="F302" s="3"/>
      <c r="G302" s="7">
        <f t="shared" si="148"/>
        <v>0</v>
      </c>
      <c r="H302" s="7">
        <f t="shared" si="149"/>
        <v>0</v>
      </c>
      <c r="I302" s="7">
        <f t="shared" si="150"/>
        <v>0</v>
      </c>
      <c r="J302" s="7">
        <f t="shared" si="151"/>
        <v>0</v>
      </c>
      <c r="K302" s="7">
        <f t="shared" si="152"/>
        <v>0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 t="str">
        <f t="shared" si="147"/>
        <v>Andrea</v>
      </c>
      <c r="B303" s="3"/>
      <c r="C303" s="7">
        <v>3.0</v>
      </c>
      <c r="D303" s="7">
        <v>1847.55</v>
      </c>
      <c r="E303" s="7">
        <v>1847.55</v>
      </c>
      <c r="F303" s="7">
        <v>-1.28</v>
      </c>
      <c r="G303" s="7">
        <f t="shared" si="148"/>
        <v>0</v>
      </c>
      <c r="H303" s="7">
        <f t="shared" si="149"/>
        <v>-1.28</v>
      </c>
      <c r="I303" s="7">
        <f t="shared" si="150"/>
        <v>1500</v>
      </c>
      <c r="J303" s="7">
        <f t="shared" si="151"/>
        <v>3347.55</v>
      </c>
      <c r="K303" s="7">
        <f t="shared" si="152"/>
        <v>1500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 t="str">
        <f t="shared" si="147"/>
        <v>Miriam</v>
      </c>
      <c r="B304" s="3"/>
      <c r="C304" s="4"/>
      <c r="D304" s="3"/>
      <c r="E304" s="3"/>
      <c r="F304" s="3"/>
      <c r="G304" s="7">
        <f t="shared" si="148"/>
        <v>0</v>
      </c>
      <c r="H304" s="7">
        <f t="shared" si="149"/>
        <v>0</v>
      </c>
      <c r="I304" s="7">
        <f t="shared" si="150"/>
        <v>0</v>
      </c>
      <c r="J304" s="7">
        <f t="shared" si="151"/>
        <v>0</v>
      </c>
      <c r="K304" s="7">
        <f t="shared" si="152"/>
        <v>0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tr">
        <f t="shared" si="147"/>
        <v>Kevin</v>
      </c>
      <c r="B305" s="3"/>
      <c r="C305" s="3"/>
      <c r="D305" s="3"/>
      <c r="E305" s="3"/>
      <c r="F305" s="3"/>
      <c r="G305" s="7">
        <f t="shared" si="148"/>
        <v>0</v>
      </c>
      <c r="H305" s="7">
        <f t="shared" si="149"/>
        <v>0</v>
      </c>
      <c r="I305" s="7">
        <f t="shared" si="150"/>
        <v>0</v>
      </c>
      <c r="J305" s="7">
        <f t="shared" si="151"/>
        <v>0</v>
      </c>
      <c r="K305" s="7">
        <f t="shared" si="152"/>
        <v>0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tr">
        <f t="shared" si="147"/>
        <v/>
      </c>
      <c r="B306" s="3"/>
      <c r="C306" s="3"/>
      <c r="D306" s="3"/>
      <c r="E306" s="3"/>
      <c r="F306" s="3"/>
      <c r="G306" s="7">
        <f t="shared" si="148"/>
        <v>0</v>
      </c>
      <c r="H306" s="7">
        <f t="shared" si="149"/>
        <v>0</v>
      </c>
      <c r="I306" s="7">
        <f t="shared" si="150"/>
        <v>0</v>
      </c>
      <c r="J306" s="7">
        <f t="shared" si="151"/>
        <v>0</v>
      </c>
      <c r="K306" s="7">
        <f t="shared" si="152"/>
        <v>0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7">
        <f>SUM(B298:B306)</f>
        <v>315.13</v>
      </c>
      <c r="C307" s="3"/>
      <c r="D307" s="7">
        <f t="shared" ref="D307:K307" si="153">SUM(D298:D306)</f>
        <v>3381.55</v>
      </c>
      <c r="E307" s="7">
        <f t="shared" si="153"/>
        <v>3381.55</v>
      </c>
      <c r="F307" s="7">
        <f t="shared" si="153"/>
        <v>-0.83</v>
      </c>
      <c r="G307" s="7">
        <f t="shared" si="153"/>
        <v>0</v>
      </c>
      <c r="H307" s="7">
        <f t="shared" si="153"/>
        <v>-0.83</v>
      </c>
      <c r="I307" s="7">
        <f t="shared" si="153"/>
        <v>2500</v>
      </c>
      <c r="J307" s="7">
        <f t="shared" si="153"/>
        <v>6196.68</v>
      </c>
      <c r="K307" s="7">
        <f t="shared" si="153"/>
        <v>2815.13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10">
      <c r="A310" s="3" t="s">
        <v>0</v>
      </c>
      <c r="B310" s="12">
        <f>B296+1</f>
        <v>46014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 t="s">
        <v>1</v>
      </c>
      <c r="C311" s="3" t="s">
        <v>2</v>
      </c>
      <c r="D311" s="3" t="s">
        <v>3</v>
      </c>
      <c r="E311" s="3" t="s">
        <v>4</v>
      </c>
      <c r="F311" s="3" t="s">
        <v>5</v>
      </c>
      <c r="G311" s="3" t="s">
        <v>6</v>
      </c>
      <c r="H311" s="3" t="s">
        <v>7</v>
      </c>
      <c r="I311" s="3" t="s">
        <v>8</v>
      </c>
      <c r="J311" s="3" t="s">
        <v>9</v>
      </c>
      <c r="K311" s="3" t="s">
        <v>10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tr">
        <f t="shared" ref="A312:A320" si="154">A298</f>
        <v>Mónica</v>
      </c>
      <c r="B312" s="3"/>
      <c r="C312" s="11"/>
      <c r="D312" s="3"/>
      <c r="E312" s="3"/>
      <c r="F312" s="7"/>
      <c r="G312" s="7">
        <f t="shared" ref="G312:G320" si="155">D312-E312</f>
        <v>0</v>
      </c>
      <c r="H312" s="7">
        <f t="shared" ref="H312:H320" si="156">G312+F312</f>
        <v>0</v>
      </c>
      <c r="I312" s="7">
        <f t="shared" ref="I312:I320" si="157">C312*500</f>
        <v>0</v>
      </c>
      <c r="J312" s="7">
        <f t="shared" ref="J312:J320" si="158">I312+E312+B312</f>
        <v>0</v>
      </c>
      <c r="K312" s="7">
        <f t="shared" ref="K312:K320" si="159">I312+B312</f>
        <v>0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tr">
        <f t="shared" si="154"/>
        <v>Dani</v>
      </c>
      <c r="B313" s="3"/>
      <c r="C313" s="3"/>
      <c r="D313" s="3"/>
      <c r="E313" s="3"/>
      <c r="F313" s="3"/>
      <c r="G313" s="7">
        <f t="shared" si="155"/>
        <v>0</v>
      </c>
      <c r="H313" s="7">
        <f t="shared" si="156"/>
        <v>0</v>
      </c>
      <c r="I313" s="7">
        <f t="shared" si="157"/>
        <v>0</v>
      </c>
      <c r="J313" s="7">
        <f t="shared" si="158"/>
        <v>0</v>
      </c>
      <c r="K313" s="7">
        <f t="shared" si="159"/>
        <v>0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tr">
        <f t="shared" si="154"/>
        <v>Sol </v>
      </c>
      <c r="B314" s="8"/>
      <c r="C314" s="8"/>
      <c r="D314" s="8"/>
      <c r="E314" s="8"/>
      <c r="F314" s="8"/>
      <c r="G314" s="7">
        <f t="shared" si="155"/>
        <v>0</v>
      </c>
      <c r="H314" s="7">
        <f t="shared" si="156"/>
        <v>0</v>
      </c>
      <c r="I314" s="7">
        <f t="shared" si="157"/>
        <v>0</v>
      </c>
      <c r="J314" s="7">
        <f t="shared" si="158"/>
        <v>0</v>
      </c>
      <c r="K314" s="7">
        <f t="shared" si="159"/>
        <v>0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 t="str">
        <f t="shared" si="154"/>
        <v>Katherine </v>
      </c>
      <c r="B315" s="3"/>
      <c r="C315" s="3"/>
      <c r="D315" s="3"/>
      <c r="E315" s="3"/>
      <c r="F315" s="3"/>
      <c r="G315" s="7">
        <f t="shared" si="155"/>
        <v>0</v>
      </c>
      <c r="H315" s="7">
        <f t="shared" si="156"/>
        <v>0</v>
      </c>
      <c r="I315" s="7">
        <f t="shared" si="157"/>
        <v>0</v>
      </c>
      <c r="J315" s="7">
        <f t="shared" si="158"/>
        <v>0</v>
      </c>
      <c r="K315" s="7">
        <f t="shared" si="159"/>
        <v>0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 t="str">
        <f t="shared" si="154"/>
        <v>Luisa </v>
      </c>
      <c r="B316" s="3"/>
      <c r="C316" s="3"/>
      <c r="D316" s="3"/>
      <c r="E316" s="3"/>
      <c r="F316" s="3"/>
      <c r="G316" s="7">
        <f t="shared" si="155"/>
        <v>0</v>
      </c>
      <c r="H316" s="7">
        <f t="shared" si="156"/>
        <v>0</v>
      </c>
      <c r="I316" s="7">
        <f t="shared" si="157"/>
        <v>0</v>
      </c>
      <c r="J316" s="7">
        <f t="shared" si="158"/>
        <v>0</v>
      </c>
      <c r="K316" s="7">
        <f t="shared" si="159"/>
        <v>0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 t="str">
        <f t="shared" si="154"/>
        <v>Andrea</v>
      </c>
      <c r="B317" s="3"/>
      <c r="C317" s="3"/>
      <c r="D317" s="3"/>
      <c r="E317" s="3"/>
      <c r="F317" s="3"/>
      <c r="G317" s="7">
        <f t="shared" si="155"/>
        <v>0</v>
      </c>
      <c r="H317" s="7">
        <f t="shared" si="156"/>
        <v>0</v>
      </c>
      <c r="I317" s="7">
        <f t="shared" si="157"/>
        <v>0</v>
      </c>
      <c r="J317" s="7">
        <f t="shared" si="158"/>
        <v>0</v>
      </c>
      <c r="K317" s="7">
        <f t="shared" si="159"/>
        <v>0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 t="str">
        <f t="shared" si="154"/>
        <v>Miriam</v>
      </c>
      <c r="B318" s="7"/>
      <c r="C318" s="3"/>
      <c r="D318" s="7"/>
      <c r="E318" s="7"/>
      <c r="F318" s="7"/>
      <c r="G318" s="7">
        <f t="shared" si="155"/>
        <v>0</v>
      </c>
      <c r="H318" s="7">
        <f t="shared" si="156"/>
        <v>0</v>
      </c>
      <c r="I318" s="7">
        <f t="shared" si="157"/>
        <v>0</v>
      </c>
      <c r="J318" s="7">
        <f t="shared" si="158"/>
        <v>0</v>
      </c>
      <c r="K318" s="7">
        <f t="shared" si="159"/>
        <v>0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tr">
        <f t="shared" si="154"/>
        <v>Kevin</v>
      </c>
      <c r="B319" s="3"/>
      <c r="C319" s="3"/>
      <c r="D319" s="3"/>
      <c r="E319" s="3"/>
      <c r="F319" s="3"/>
      <c r="G319" s="7">
        <f t="shared" si="155"/>
        <v>0</v>
      </c>
      <c r="H319" s="7">
        <f t="shared" si="156"/>
        <v>0</v>
      </c>
      <c r="I319" s="7">
        <f t="shared" si="157"/>
        <v>0</v>
      </c>
      <c r="J319" s="7">
        <f t="shared" si="158"/>
        <v>0</v>
      </c>
      <c r="K319" s="7">
        <f t="shared" si="159"/>
        <v>0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tr">
        <f t="shared" si="154"/>
        <v/>
      </c>
      <c r="B320" s="3"/>
      <c r="C320" s="3"/>
      <c r="D320" s="3"/>
      <c r="E320" s="3"/>
      <c r="F320" s="3"/>
      <c r="G320" s="7">
        <f t="shared" si="155"/>
        <v>0</v>
      </c>
      <c r="H320" s="7">
        <f t="shared" si="156"/>
        <v>0</v>
      </c>
      <c r="I320" s="7">
        <f t="shared" si="157"/>
        <v>0</v>
      </c>
      <c r="J320" s="7">
        <f t="shared" si="158"/>
        <v>0</v>
      </c>
      <c r="K320" s="7">
        <f t="shared" si="159"/>
        <v>0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7">
        <f>SUM(B312:B320)</f>
        <v>0</v>
      </c>
      <c r="C321" s="3"/>
      <c r="D321" s="7">
        <f t="shared" ref="D321:K321" si="160">SUM(D312:D320)</f>
        <v>0</v>
      </c>
      <c r="E321" s="7">
        <f t="shared" si="160"/>
        <v>0</v>
      </c>
      <c r="F321" s="7">
        <f t="shared" si="160"/>
        <v>0</v>
      </c>
      <c r="G321" s="7">
        <f t="shared" si="160"/>
        <v>0</v>
      </c>
      <c r="H321" s="7">
        <f t="shared" si="160"/>
        <v>0</v>
      </c>
      <c r="I321" s="7">
        <f t="shared" si="160"/>
        <v>0</v>
      </c>
      <c r="J321" s="7">
        <f t="shared" si="160"/>
        <v>0</v>
      </c>
      <c r="K321" s="7">
        <f t="shared" si="160"/>
        <v>0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4">
      <c r="A324" s="3" t="s">
        <v>0</v>
      </c>
      <c r="B324" s="12">
        <f>B310+1</f>
        <v>46015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 t="s">
        <v>1</v>
      </c>
      <c r="C325" s="3" t="s">
        <v>2</v>
      </c>
      <c r="D325" s="3" t="s">
        <v>3</v>
      </c>
      <c r="E325" s="3" t="s">
        <v>4</v>
      </c>
      <c r="F325" s="3" t="s">
        <v>5</v>
      </c>
      <c r="G325" s="3" t="s">
        <v>6</v>
      </c>
      <c r="H325" s="3" t="s">
        <v>7</v>
      </c>
      <c r="I325" s="3" t="s">
        <v>8</v>
      </c>
      <c r="J325" s="3" t="s">
        <v>9</v>
      </c>
      <c r="K325" s="3" t="s">
        <v>10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tr">
        <f t="shared" ref="A326:A334" si="161">A312</f>
        <v>Mónica</v>
      </c>
      <c r="B326" s="3"/>
      <c r="C326" s="3"/>
      <c r="D326" s="3"/>
      <c r="E326" s="3"/>
      <c r="F326" s="7"/>
      <c r="G326" s="7">
        <f t="shared" ref="G326:G334" si="162">D326-E326</f>
        <v>0</v>
      </c>
      <c r="H326" s="7">
        <f t="shared" ref="H326:H334" si="163">G326+F326</f>
        <v>0</v>
      </c>
      <c r="I326" s="7">
        <f t="shared" ref="I326:I334" si="164">C326*500</f>
        <v>0</v>
      </c>
      <c r="J326" s="7">
        <f t="shared" ref="J326:J334" si="165">I326+E326+B326</f>
        <v>0</v>
      </c>
      <c r="K326" s="7">
        <f t="shared" ref="K326:K334" si="166">I326+B326</f>
        <v>0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tr">
        <f t="shared" si="161"/>
        <v>Dani</v>
      </c>
      <c r="B327" s="3"/>
      <c r="C327" s="3"/>
      <c r="D327" s="3"/>
      <c r="E327" s="3"/>
      <c r="F327" s="3"/>
      <c r="G327" s="7">
        <f t="shared" si="162"/>
        <v>0</v>
      </c>
      <c r="H327" s="7">
        <f t="shared" si="163"/>
        <v>0</v>
      </c>
      <c r="I327" s="7">
        <f t="shared" si="164"/>
        <v>0</v>
      </c>
      <c r="J327" s="7">
        <f t="shared" si="165"/>
        <v>0</v>
      </c>
      <c r="K327" s="7">
        <f t="shared" si="166"/>
        <v>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tr">
        <f t="shared" si="161"/>
        <v>Sol </v>
      </c>
      <c r="B328" s="8"/>
      <c r="C328" s="8"/>
      <c r="D328" s="8"/>
      <c r="E328" s="8"/>
      <c r="F328" s="8"/>
      <c r="G328" s="7">
        <f t="shared" si="162"/>
        <v>0</v>
      </c>
      <c r="H328" s="7">
        <f t="shared" si="163"/>
        <v>0</v>
      </c>
      <c r="I328" s="7">
        <f t="shared" si="164"/>
        <v>0</v>
      </c>
      <c r="J328" s="7">
        <f t="shared" si="165"/>
        <v>0</v>
      </c>
      <c r="K328" s="7">
        <f t="shared" si="166"/>
        <v>0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 t="str">
        <f t="shared" si="161"/>
        <v>Katherine </v>
      </c>
      <c r="B329" s="3"/>
      <c r="C329" s="3"/>
      <c r="D329" s="3"/>
      <c r="E329" s="3"/>
      <c r="F329" s="3"/>
      <c r="G329" s="7">
        <f t="shared" si="162"/>
        <v>0</v>
      </c>
      <c r="H329" s="7">
        <f t="shared" si="163"/>
        <v>0</v>
      </c>
      <c r="I329" s="7">
        <f t="shared" si="164"/>
        <v>0</v>
      </c>
      <c r="J329" s="7">
        <f t="shared" si="165"/>
        <v>0</v>
      </c>
      <c r="K329" s="7">
        <f t="shared" si="166"/>
        <v>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 t="str">
        <f t="shared" si="161"/>
        <v>Luisa </v>
      </c>
      <c r="B330" s="3"/>
      <c r="C330" s="3"/>
      <c r="D330" s="3"/>
      <c r="E330" s="3"/>
      <c r="F330" s="3"/>
      <c r="G330" s="7">
        <f t="shared" si="162"/>
        <v>0</v>
      </c>
      <c r="H330" s="7">
        <f t="shared" si="163"/>
        <v>0</v>
      </c>
      <c r="I330" s="7">
        <f t="shared" si="164"/>
        <v>0</v>
      </c>
      <c r="J330" s="7">
        <f t="shared" si="165"/>
        <v>0</v>
      </c>
      <c r="K330" s="7">
        <f t="shared" si="166"/>
        <v>0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 t="str">
        <f t="shared" si="161"/>
        <v>Andrea</v>
      </c>
      <c r="B331" s="3"/>
      <c r="C331" s="3"/>
      <c r="D331" s="3"/>
      <c r="E331" s="3"/>
      <c r="F331" s="3"/>
      <c r="G331" s="7">
        <f t="shared" si="162"/>
        <v>0</v>
      </c>
      <c r="H331" s="7">
        <f t="shared" si="163"/>
        <v>0</v>
      </c>
      <c r="I331" s="7">
        <f t="shared" si="164"/>
        <v>0</v>
      </c>
      <c r="J331" s="7">
        <f t="shared" si="165"/>
        <v>0</v>
      </c>
      <c r="K331" s="7">
        <f t="shared" si="166"/>
        <v>0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 t="str">
        <f t="shared" si="161"/>
        <v>Miriam</v>
      </c>
      <c r="B332" s="7"/>
      <c r="C332" s="3"/>
      <c r="D332" s="7"/>
      <c r="E332" s="7"/>
      <c r="F332" s="7"/>
      <c r="G332" s="7">
        <f t="shared" si="162"/>
        <v>0</v>
      </c>
      <c r="H332" s="7">
        <f t="shared" si="163"/>
        <v>0</v>
      </c>
      <c r="I332" s="7">
        <f t="shared" si="164"/>
        <v>0</v>
      </c>
      <c r="J332" s="7">
        <f t="shared" si="165"/>
        <v>0</v>
      </c>
      <c r="K332" s="7">
        <f t="shared" si="166"/>
        <v>0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tr">
        <f t="shared" si="161"/>
        <v>Kevin</v>
      </c>
      <c r="B333" s="3"/>
      <c r="C333" s="3"/>
      <c r="D333" s="3"/>
      <c r="E333" s="3"/>
      <c r="F333" s="3"/>
      <c r="G333" s="7">
        <f t="shared" si="162"/>
        <v>0</v>
      </c>
      <c r="H333" s="7">
        <f t="shared" si="163"/>
        <v>0</v>
      </c>
      <c r="I333" s="7">
        <f t="shared" si="164"/>
        <v>0</v>
      </c>
      <c r="J333" s="7">
        <f t="shared" si="165"/>
        <v>0</v>
      </c>
      <c r="K333" s="7">
        <f t="shared" si="166"/>
        <v>0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tr">
        <f t="shared" si="161"/>
        <v/>
      </c>
      <c r="B334" s="3"/>
      <c r="C334" s="3"/>
      <c r="D334" s="3"/>
      <c r="E334" s="3"/>
      <c r="F334" s="3"/>
      <c r="G334" s="7">
        <f t="shared" si="162"/>
        <v>0</v>
      </c>
      <c r="H334" s="7">
        <f t="shared" si="163"/>
        <v>0</v>
      </c>
      <c r="I334" s="7">
        <f t="shared" si="164"/>
        <v>0</v>
      </c>
      <c r="J334" s="7">
        <f t="shared" si="165"/>
        <v>0</v>
      </c>
      <c r="K334" s="7">
        <f t="shared" si="166"/>
        <v>0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7">
        <f>SUM(B326:B334)</f>
        <v>0</v>
      </c>
      <c r="C335" s="3"/>
      <c r="D335" s="7">
        <f t="shared" ref="D335:K335" si="167">SUM(D326:D334)</f>
        <v>0</v>
      </c>
      <c r="E335" s="7">
        <f t="shared" si="167"/>
        <v>0</v>
      </c>
      <c r="F335" s="7">
        <f t="shared" si="167"/>
        <v>0</v>
      </c>
      <c r="G335" s="7">
        <f t="shared" si="167"/>
        <v>0</v>
      </c>
      <c r="H335" s="7">
        <f t="shared" si="167"/>
        <v>0</v>
      </c>
      <c r="I335" s="7">
        <f t="shared" si="167"/>
        <v>0</v>
      </c>
      <c r="J335" s="7">
        <f t="shared" si="167"/>
        <v>0</v>
      </c>
      <c r="K335" s="7">
        <f t="shared" si="167"/>
        <v>0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8">
      <c r="A338" s="3" t="s">
        <v>0</v>
      </c>
      <c r="B338" s="12">
        <f>B324+1</f>
        <v>46016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 t="s">
        <v>1</v>
      </c>
      <c r="C339" s="3" t="s">
        <v>2</v>
      </c>
      <c r="D339" s="3" t="s">
        <v>3</v>
      </c>
      <c r="E339" s="3" t="s">
        <v>4</v>
      </c>
      <c r="F339" s="3" t="s">
        <v>5</v>
      </c>
      <c r="G339" s="3" t="s">
        <v>6</v>
      </c>
      <c r="H339" s="3" t="s">
        <v>7</v>
      </c>
      <c r="I339" s="3" t="s">
        <v>8</v>
      </c>
      <c r="J339" s="3" t="s">
        <v>9</v>
      </c>
      <c r="K339" s="3" t="s">
        <v>10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tr">
        <f t="shared" ref="A340:A348" si="168">A326</f>
        <v>Mónica</v>
      </c>
      <c r="B340" s="15"/>
      <c r="C340" s="15"/>
      <c r="D340" s="17"/>
      <c r="E340" s="17"/>
      <c r="F340" s="7"/>
      <c r="G340" s="7">
        <f t="shared" ref="G340:G341" si="169">D340-E340</f>
        <v>0</v>
      </c>
      <c r="H340" s="7">
        <f t="shared" ref="H340:H348" si="170">G340+F340</f>
        <v>0</v>
      </c>
      <c r="I340" s="7">
        <f t="shared" ref="I340:I348" si="171">C340*500</f>
        <v>0</v>
      </c>
      <c r="J340" s="7"/>
      <c r="K340" s="7">
        <f t="shared" ref="K340:K348" si="172">I340+B340</f>
        <v>0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tr">
        <f t="shared" si="168"/>
        <v>Dani</v>
      </c>
      <c r="B341" s="3"/>
      <c r="C341" s="3"/>
      <c r="D341" s="3"/>
      <c r="E341" s="3"/>
      <c r="F341" s="3"/>
      <c r="G341" s="7">
        <f t="shared" si="169"/>
        <v>0</v>
      </c>
      <c r="H341" s="7">
        <f t="shared" si="170"/>
        <v>0</v>
      </c>
      <c r="I341" s="7">
        <f t="shared" si="171"/>
        <v>0</v>
      </c>
      <c r="J341" s="7">
        <f t="shared" ref="J341:J347" si="173">I341+E341+J342</f>
        <v>0</v>
      </c>
      <c r="K341" s="7">
        <f t="shared" si="172"/>
        <v>0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tr">
        <f t="shared" si="168"/>
        <v>Sol </v>
      </c>
      <c r="B342" s="7"/>
      <c r="C342" s="7"/>
      <c r="D342" s="17"/>
      <c r="E342" s="7"/>
      <c r="F342" s="7"/>
      <c r="G342" s="7"/>
      <c r="H342" s="7">
        <f t="shared" si="170"/>
        <v>0</v>
      </c>
      <c r="I342" s="7">
        <f t="shared" si="171"/>
        <v>0</v>
      </c>
      <c r="J342" s="7">
        <f t="shared" si="173"/>
        <v>0</v>
      </c>
      <c r="K342" s="7">
        <f t="shared" si="172"/>
        <v>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 t="str">
        <f t="shared" si="168"/>
        <v>Katherine </v>
      </c>
      <c r="B343" s="7"/>
      <c r="C343" s="7"/>
      <c r="D343" s="7"/>
      <c r="E343" s="7"/>
      <c r="F343" s="7"/>
      <c r="G343" s="7"/>
      <c r="H343" s="7">
        <f t="shared" si="170"/>
        <v>0</v>
      </c>
      <c r="I343" s="7">
        <f t="shared" si="171"/>
        <v>0</v>
      </c>
      <c r="J343" s="7">
        <f t="shared" si="173"/>
        <v>0</v>
      </c>
      <c r="K343" s="7">
        <f t="shared" si="172"/>
        <v>0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 t="str">
        <f t="shared" si="168"/>
        <v>Luisa </v>
      </c>
      <c r="B344" s="3"/>
      <c r="C344" s="3"/>
      <c r="D344" s="3"/>
      <c r="E344" s="3"/>
      <c r="F344" s="3"/>
      <c r="G344" s="7">
        <f t="shared" ref="G344:G348" si="174">D344-E344</f>
        <v>0</v>
      </c>
      <c r="H344" s="7">
        <f t="shared" si="170"/>
        <v>0</v>
      </c>
      <c r="I344" s="7">
        <f t="shared" si="171"/>
        <v>0</v>
      </c>
      <c r="J344" s="7">
        <f t="shared" si="173"/>
        <v>0</v>
      </c>
      <c r="K344" s="7">
        <f t="shared" si="172"/>
        <v>0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 t="str">
        <f t="shared" si="168"/>
        <v>Andrea</v>
      </c>
      <c r="B345" s="3"/>
      <c r="C345" s="3"/>
      <c r="D345" s="3"/>
      <c r="E345" s="3"/>
      <c r="F345" s="3"/>
      <c r="G345" s="7">
        <f t="shared" si="174"/>
        <v>0</v>
      </c>
      <c r="H345" s="7">
        <f t="shared" si="170"/>
        <v>0</v>
      </c>
      <c r="I345" s="7">
        <f t="shared" si="171"/>
        <v>0</v>
      </c>
      <c r="J345" s="7">
        <f t="shared" si="173"/>
        <v>0</v>
      </c>
      <c r="K345" s="7">
        <f t="shared" si="172"/>
        <v>0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 t="str">
        <f t="shared" si="168"/>
        <v>Miriam</v>
      </c>
      <c r="B346" s="7"/>
      <c r="C346" s="3"/>
      <c r="D346" s="7"/>
      <c r="E346" s="7"/>
      <c r="F346" s="7"/>
      <c r="G346" s="7">
        <f t="shared" si="174"/>
        <v>0</v>
      </c>
      <c r="H346" s="7">
        <f t="shared" si="170"/>
        <v>0</v>
      </c>
      <c r="I346" s="7">
        <f t="shared" si="171"/>
        <v>0</v>
      </c>
      <c r="J346" s="7">
        <f t="shared" si="173"/>
        <v>0</v>
      </c>
      <c r="K346" s="7">
        <f t="shared" si="172"/>
        <v>0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tr">
        <f t="shared" si="168"/>
        <v>Kevin</v>
      </c>
      <c r="B347" s="3"/>
      <c r="C347" s="3"/>
      <c r="D347" s="3"/>
      <c r="E347" s="3"/>
      <c r="F347" s="3"/>
      <c r="G347" s="7">
        <f t="shared" si="174"/>
        <v>0</v>
      </c>
      <c r="H347" s="7">
        <f t="shared" si="170"/>
        <v>0</v>
      </c>
      <c r="I347" s="7">
        <f t="shared" si="171"/>
        <v>0</v>
      </c>
      <c r="J347" s="7">
        <f t="shared" si="173"/>
        <v>0</v>
      </c>
      <c r="K347" s="7">
        <f t="shared" si="172"/>
        <v>0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tr">
        <f t="shared" si="168"/>
        <v/>
      </c>
      <c r="B348" s="3"/>
      <c r="C348" s="3"/>
      <c r="D348" s="3"/>
      <c r="E348" s="3"/>
      <c r="F348" s="3"/>
      <c r="G348" s="7">
        <f t="shared" si="174"/>
        <v>0</v>
      </c>
      <c r="H348" s="7">
        <f t="shared" si="170"/>
        <v>0</v>
      </c>
      <c r="I348" s="7">
        <f t="shared" si="171"/>
        <v>0</v>
      </c>
      <c r="J348" s="7"/>
      <c r="K348" s="7">
        <f t="shared" si="172"/>
        <v>0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7">
        <f>SUM(B340:B348)</f>
        <v>0</v>
      </c>
      <c r="C349" s="3"/>
      <c r="D349" s="7">
        <f t="shared" ref="D349:E349" si="175">SUM(D341:D348)</f>
        <v>0</v>
      </c>
      <c r="E349" s="7">
        <f t="shared" si="175"/>
        <v>0</v>
      </c>
      <c r="F349" s="7">
        <f t="shared" ref="F349:K349" si="176">SUM(F340:F348)</f>
        <v>0</v>
      </c>
      <c r="G349" s="7">
        <f t="shared" si="176"/>
        <v>0</v>
      </c>
      <c r="H349" s="7">
        <f t="shared" si="176"/>
        <v>0</v>
      </c>
      <c r="I349" s="7">
        <f t="shared" si="176"/>
        <v>0</v>
      </c>
      <c r="J349" s="7">
        <f t="shared" si="176"/>
        <v>0</v>
      </c>
      <c r="K349" s="7">
        <f t="shared" si="176"/>
        <v>0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2">
      <c r="A352" s="3" t="s">
        <v>0</v>
      </c>
      <c r="B352" s="12">
        <f>B338+1</f>
        <v>46017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 t="s">
        <v>1</v>
      </c>
      <c r="C353" s="3" t="s">
        <v>2</v>
      </c>
      <c r="D353" s="3" t="s">
        <v>3</v>
      </c>
      <c r="E353" s="3" t="s">
        <v>4</v>
      </c>
      <c r="F353" s="3" t="s">
        <v>5</v>
      </c>
      <c r="G353" s="3" t="s">
        <v>6</v>
      </c>
      <c r="H353" s="3" t="s">
        <v>7</v>
      </c>
      <c r="I353" s="3" t="s">
        <v>8</v>
      </c>
      <c r="J353" s="3" t="s">
        <v>9</v>
      </c>
      <c r="K353" s="3" t="s">
        <v>10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tr">
        <f t="shared" ref="A354:A362" si="177">A340</f>
        <v>Mónica</v>
      </c>
      <c r="B354" s="4"/>
      <c r="C354" s="4"/>
      <c r="D354" s="4"/>
      <c r="E354" s="4"/>
      <c r="F354" s="3"/>
      <c r="G354" s="7">
        <f t="shared" ref="G354:G362" si="178">D354-E354</f>
        <v>0</v>
      </c>
      <c r="H354" s="7">
        <f t="shared" ref="H354:H362" si="179">G354+F354</f>
        <v>0</v>
      </c>
      <c r="I354" s="7">
        <f t="shared" ref="I354:I362" si="180">C354*500</f>
        <v>0</v>
      </c>
      <c r="J354" s="7">
        <f t="shared" ref="J354:J362" si="181">I354+E354+B354</f>
        <v>0</v>
      </c>
      <c r="K354" s="7">
        <f t="shared" ref="K354:K362" si="182">I354+B354</f>
        <v>0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tr">
        <f t="shared" si="177"/>
        <v>Dani</v>
      </c>
      <c r="B355" s="7">
        <v>194.64</v>
      </c>
      <c r="C355" s="7">
        <v>2.0</v>
      </c>
      <c r="D355" s="7">
        <v>1507.23</v>
      </c>
      <c r="E355" s="7">
        <v>1507.13</v>
      </c>
      <c r="F355" s="7">
        <v>1.39</v>
      </c>
      <c r="G355" s="7">
        <f t="shared" si="178"/>
        <v>0.1</v>
      </c>
      <c r="H355" s="7">
        <f t="shared" si="179"/>
        <v>1.49</v>
      </c>
      <c r="I355" s="7">
        <f t="shared" si="180"/>
        <v>1000</v>
      </c>
      <c r="J355" s="7">
        <f t="shared" si="181"/>
        <v>2701.77</v>
      </c>
      <c r="K355" s="7">
        <f t="shared" si="182"/>
        <v>1194.64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tr">
        <f t="shared" si="177"/>
        <v>Sol </v>
      </c>
      <c r="B356" s="7">
        <v>108.97</v>
      </c>
      <c r="C356" s="3"/>
      <c r="D356" s="7">
        <v>186.76</v>
      </c>
      <c r="E356" s="7">
        <v>186.76</v>
      </c>
      <c r="F356" s="7">
        <v>2.52</v>
      </c>
      <c r="G356" s="7">
        <f t="shared" si="178"/>
        <v>0</v>
      </c>
      <c r="H356" s="7">
        <f t="shared" si="179"/>
        <v>2.52</v>
      </c>
      <c r="I356" s="7">
        <f t="shared" si="180"/>
        <v>0</v>
      </c>
      <c r="J356" s="7">
        <f t="shared" si="181"/>
        <v>295.73</v>
      </c>
      <c r="K356" s="7">
        <f t="shared" si="182"/>
        <v>108.97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 t="str">
        <f t="shared" si="177"/>
        <v>Katherine </v>
      </c>
      <c r="B357" s="3"/>
      <c r="C357" s="3"/>
      <c r="D357" s="3"/>
      <c r="E357" s="3"/>
      <c r="F357" s="3"/>
      <c r="G357" s="7">
        <f t="shared" si="178"/>
        <v>0</v>
      </c>
      <c r="H357" s="7">
        <f t="shared" si="179"/>
        <v>0</v>
      </c>
      <c r="I357" s="7">
        <f t="shared" si="180"/>
        <v>0</v>
      </c>
      <c r="J357" s="7">
        <f t="shared" si="181"/>
        <v>0</v>
      </c>
      <c r="K357" s="7">
        <f t="shared" si="182"/>
        <v>0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 t="str">
        <f t="shared" si="177"/>
        <v>Luisa </v>
      </c>
      <c r="B358" s="3"/>
      <c r="C358" s="3"/>
      <c r="D358" s="3"/>
      <c r="E358" s="3"/>
      <c r="F358" s="3"/>
      <c r="G358" s="7">
        <f t="shared" si="178"/>
        <v>0</v>
      </c>
      <c r="H358" s="7">
        <f t="shared" si="179"/>
        <v>0</v>
      </c>
      <c r="I358" s="7">
        <f t="shared" si="180"/>
        <v>0</v>
      </c>
      <c r="J358" s="7">
        <f t="shared" si="181"/>
        <v>0</v>
      </c>
      <c r="K358" s="7">
        <f t="shared" si="182"/>
        <v>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 t="str">
        <f t="shared" si="177"/>
        <v>Andrea</v>
      </c>
      <c r="B359" s="7">
        <v>20.5</v>
      </c>
      <c r="C359" s="7">
        <v>3.0</v>
      </c>
      <c r="D359" s="7">
        <v>1331.08</v>
      </c>
      <c r="E359" s="7">
        <v>1331.08</v>
      </c>
      <c r="F359" s="7">
        <v>-4.56</v>
      </c>
      <c r="G359" s="7">
        <f t="shared" si="178"/>
        <v>0</v>
      </c>
      <c r="H359" s="7">
        <f t="shared" si="179"/>
        <v>-4.56</v>
      </c>
      <c r="I359" s="7">
        <f t="shared" si="180"/>
        <v>1500</v>
      </c>
      <c r="J359" s="7">
        <f t="shared" si="181"/>
        <v>2851.58</v>
      </c>
      <c r="K359" s="7">
        <f t="shared" si="182"/>
        <v>1520.5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 t="str">
        <f t="shared" si="177"/>
        <v>Miriam</v>
      </c>
      <c r="B360" s="3"/>
      <c r="C360" s="3"/>
      <c r="D360" s="3"/>
      <c r="E360" s="3"/>
      <c r="F360" s="3"/>
      <c r="G360" s="7">
        <f t="shared" si="178"/>
        <v>0</v>
      </c>
      <c r="H360" s="7">
        <f t="shared" si="179"/>
        <v>0</v>
      </c>
      <c r="I360" s="7">
        <f t="shared" si="180"/>
        <v>0</v>
      </c>
      <c r="J360" s="7">
        <f t="shared" si="181"/>
        <v>0</v>
      </c>
      <c r="K360" s="7">
        <f t="shared" si="182"/>
        <v>0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tr">
        <f t="shared" si="177"/>
        <v>Kevin</v>
      </c>
      <c r="B361" s="7"/>
      <c r="C361" s="7"/>
      <c r="D361" s="7"/>
      <c r="E361" s="7"/>
      <c r="F361" s="7"/>
      <c r="G361" s="7">
        <f t="shared" si="178"/>
        <v>0</v>
      </c>
      <c r="H361" s="7">
        <f t="shared" si="179"/>
        <v>0</v>
      </c>
      <c r="I361" s="7">
        <f t="shared" si="180"/>
        <v>0</v>
      </c>
      <c r="J361" s="7">
        <f t="shared" si="181"/>
        <v>0</v>
      </c>
      <c r="K361" s="7">
        <f t="shared" si="182"/>
        <v>0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tr">
        <f t="shared" si="177"/>
        <v/>
      </c>
      <c r="B362" s="3"/>
      <c r="C362" s="3"/>
      <c r="D362" s="3"/>
      <c r="E362" s="3"/>
      <c r="F362" s="3"/>
      <c r="G362" s="7">
        <f t="shared" si="178"/>
        <v>0</v>
      </c>
      <c r="H362" s="7">
        <f t="shared" si="179"/>
        <v>0</v>
      </c>
      <c r="I362" s="7">
        <f t="shared" si="180"/>
        <v>0</v>
      </c>
      <c r="J362" s="7">
        <f t="shared" si="181"/>
        <v>0</v>
      </c>
      <c r="K362" s="7">
        <f t="shared" si="182"/>
        <v>0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7">
        <f>SUM(B354:B362)</f>
        <v>324.11</v>
      </c>
      <c r="C363" s="3"/>
      <c r="D363" s="7">
        <f t="shared" ref="D363:K363" si="183">SUM(D354:D362)</f>
        <v>3025.07</v>
      </c>
      <c r="E363" s="7">
        <f t="shared" si="183"/>
        <v>3024.97</v>
      </c>
      <c r="F363" s="7">
        <f t="shared" si="183"/>
        <v>-0.65</v>
      </c>
      <c r="G363" s="7">
        <f t="shared" si="183"/>
        <v>0.1</v>
      </c>
      <c r="H363" s="7">
        <f t="shared" si="183"/>
        <v>-0.55</v>
      </c>
      <c r="I363" s="7">
        <f t="shared" si="183"/>
        <v>2500</v>
      </c>
      <c r="J363" s="7">
        <f t="shared" si="183"/>
        <v>5849.08</v>
      </c>
      <c r="K363" s="7">
        <f t="shared" si="183"/>
        <v>2824.11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6">
      <c r="A366" s="3" t="s">
        <v>0</v>
      </c>
      <c r="B366" s="12">
        <f>B352+1</f>
        <v>46018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 t="s">
        <v>1</v>
      </c>
      <c r="C367" s="3" t="s">
        <v>2</v>
      </c>
      <c r="D367" s="3" t="s">
        <v>3</v>
      </c>
      <c r="E367" s="3" t="s">
        <v>4</v>
      </c>
      <c r="F367" s="3" t="s">
        <v>5</v>
      </c>
      <c r="G367" s="3" t="s">
        <v>6</v>
      </c>
      <c r="H367" s="3" t="s">
        <v>7</v>
      </c>
      <c r="I367" s="3" t="s">
        <v>8</v>
      </c>
      <c r="J367" s="3" t="s">
        <v>9</v>
      </c>
      <c r="K367" s="3" t="s">
        <v>10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tr">
        <f t="shared" ref="A368:A376" si="184">A354</f>
        <v>Mónica</v>
      </c>
      <c r="B368" s="4"/>
      <c r="C368" s="4"/>
      <c r="D368" s="4"/>
      <c r="E368" s="4"/>
      <c r="F368" s="3"/>
      <c r="G368" s="7">
        <f t="shared" ref="G368:G376" si="185">D368-E368</f>
        <v>0</v>
      </c>
      <c r="H368" s="7">
        <f t="shared" ref="H368:H376" si="186">G368+F368</f>
        <v>0</v>
      </c>
      <c r="I368" s="7">
        <f t="shared" ref="I368:I376" si="187">C368*500</f>
        <v>0</v>
      </c>
      <c r="J368" s="7">
        <f t="shared" ref="J368:J376" si="188">I368+E368+B368</f>
        <v>0</v>
      </c>
      <c r="K368" s="7">
        <f t="shared" ref="K368:K376" si="189">I368+B368</f>
        <v>0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tr">
        <f t="shared" si="184"/>
        <v>Dani</v>
      </c>
      <c r="B369" s="7">
        <v>311.5</v>
      </c>
      <c r="C369" s="7">
        <v>2.0</v>
      </c>
      <c r="D369" s="7">
        <v>1327.13</v>
      </c>
      <c r="E369" s="7">
        <v>1327.13</v>
      </c>
      <c r="F369" s="7">
        <v>1.82</v>
      </c>
      <c r="G369" s="7">
        <f t="shared" si="185"/>
        <v>0</v>
      </c>
      <c r="H369" s="7">
        <f t="shared" si="186"/>
        <v>1.82</v>
      </c>
      <c r="I369" s="7">
        <f t="shared" si="187"/>
        <v>1000</v>
      </c>
      <c r="J369" s="7">
        <f t="shared" si="188"/>
        <v>2638.63</v>
      </c>
      <c r="K369" s="7">
        <f t="shared" si="189"/>
        <v>1311.5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tr">
        <f t="shared" si="184"/>
        <v>Sol </v>
      </c>
      <c r="B370" s="7">
        <v>273.07</v>
      </c>
      <c r="C370" s="3"/>
      <c r="D370" s="7">
        <v>515.35</v>
      </c>
      <c r="E370" s="7">
        <v>515.35</v>
      </c>
      <c r="F370" s="7">
        <v>0.56</v>
      </c>
      <c r="G370" s="7">
        <f t="shared" si="185"/>
        <v>0</v>
      </c>
      <c r="H370" s="7">
        <f t="shared" si="186"/>
        <v>0.56</v>
      </c>
      <c r="I370" s="7">
        <f t="shared" si="187"/>
        <v>0</v>
      </c>
      <c r="J370" s="7">
        <f t="shared" si="188"/>
        <v>788.42</v>
      </c>
      <c r="K370" s="7">
        <f t="shared" si="189"/>
        <v>273.07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 t="str">
        <f t="shared" si="184"/>
        <v>Katherine </v>
      </c>
      <c r="B371" s="3"/>
      <c r="C371" s="3"/>
      <c r="D371" s="3"/>
      <c r="E371" s="3"/>
      <c r="F371" s="3"/>
      <c r="G371" s="7">
        <f t="shared" si="185"/>
        <v>0</v>
      </c>
      <c r="H371" s="7">
        <f t="shared" si="186"/>
        <v>0</v>
      </c>
      <c r="I371" s="7">
        <f t="shared" si="187"/>
        <v>0</v>
      </c>
      <c r="J371" s="7">
        <f t="shared" si="188"/>
        <v>0</v>
      </c>
      <c r="K371" s="7">
        <f t="shared" si="189"/>
        <v>0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 t="str">
        <f t="shared" si="184"/>
        <v>Luisa </v>
      </c>
      <c r="B372" s="3"/>
      <c r="C372" s="3"/>
      <c r="D372" s="3"/>
      <c r="E372" s="3"/>
      <c r="F372" s="3"/>
      <c r="G372" s="7">
        <f t="shared" si="185"/>
        <v>0</v>
      </c>
      <c r="H372" s="7">
        <f t="shared" si="186"/>
        <v>0</v>
      </c>
      <c r="I372" s="7">
        <f t="shared" si="187"/>
        <v>0</v>
      </c>
      <c r="J372" s="7">
        <f t="shared" si="188"/>
        <v>0</v>
      </c>
      <c r="K372" s="7">
        <f t="shared" si="189"/>
        <v>0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 t="str">
        <f t="shared" si="184"/>
        <v>Andrea</v>
      </c>
      <c r="B373" s="7">
        <v>378.16</v>
      </c>
      <c r="C373" s="7">
        <v>2.0</v>
      </c>
      <c r="D373" s="7">
        <v>1209.92</v>
      </c>
      <c r="E373" s="7">
        <v>1209.92</v>
      </c>
      <c r="F373" s="7">
        <v>0.84</v>
      </c>
      <c r="G373" s="7">
        <f t="shared" si="185"/>
        <v>0</v>
      </c>
      <c r="H373" s="7">
        <f t="shared" si="186"/>
        <v>0.84</v>
      </c>
      <c r="I373" s="7">
        <f t="shared" si="187"/>
        <v>1000</v>
      </c>
      <c r="J373" s="7">
        <f t="shared" si="188"/>
        <v>2588.08</v>
      </c>
      <c r="K373" s="7">
        <f t="shared" si="189"/>
        <v>1378.16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 t="str">
        <f t="shared" si="184"/>
        <v>Miriam</v>
      </c>
      <c r="B374" s="3"/>
      <c r="C374" s="3"/>
      <c r="D374" s="3"/>
      <c r="E374" s="3"/>
      <c r="F374" s="3"/>
      <c r="G374" s="7">
        <f t="shared" si="185"/>
        <v>0</v>
      </c>
      <c r="H374" s="7">
        <f t="shared" si="186"/>
        <v>0</v>
      </c>
      <c r="I374" s="7">
        <f t="shared" si="187"/>
        <v>0</v>
      </c>
      <c r="J374" s="7">
        <f t="shared" si="188"/>
        <v>0</v>
      </c>
      <c r="K374" s="7">
        <f t="shared" si="189"/>
        <v>0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tr">
        <f t="shared" si="184"/>
        <v>Kevin</v>
      </c>
      <c r="B375" s="3"/>
      <c r="C375" s="3"/>
      <c r="D375" s="3"/>
      <c r="E375" s="3"/>
      <c r="F375" s="3"/>
      <c r="G375" s="7">
        <f t="shared" si="185"/>
        <v>0</v>
      </c>
      <c r="H375" s="7">
        <f t="shared" si="186"/>
        <v>0</v>
      </c>
      <c r="I375" s="7">
        <f t="shared" si="187"/>
        <v>0</v>
      </c>
      <c r="J375" s="7">
        <f t="shared" si="188"/>
        <v>0</v>
      </c>
      <c r="K375" s="7">
        <f t="shared" si="189"/>
        <v>0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tr">
        <f t="shared" si="184"/>
        <v/>
      </c>
      <c r="B376" s="3"/>
      <c r="C376" s="3"/>
      <c r="D376" s="3"/>
      <c r="E376" s="3"/>
      <c r="F376" s="3"/>
      <c r="G376" s="7">
        <f t="shared" si="185"/>
        <v>0</v>
      </c>
      <c r="H376" s="7">
        <f t="shared" si="186"/>
        <v>0</v>
      </c>
      <c r="I376" s="7">
        <f t="shared" si="187"/>
        <v>0</v>
      </c>
      <c r="J376" s="7">
        <f t="shared" si="188"/>
        <v>0</v>
      </c>
      <c r="K376" s="7">
        <f t="shared" si="189"/>
        <v>0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7">
        <f>SUM(B368:B376)</f>
        <v>962.73</v>
      </c>
      <c r="C377" s="3"/>
      <c r="D377" s="7">
        <f t="shared" ref="D377:K377" si="190">SUM(D368:D376)</f>
        <v>3052.4</v>
      </c>
      <c r="E377" s="7">
        <f t="shared" si="190"/>
        <v>3052.4</v>
      </c>
      <c r="F377" s="7">
        <f t="shared" si="190"/>
        <v>3.22</v>
      </c>
      <c r="G377" s="7">
        <f t="shared" si="190"/>
        <v>0</v>
      </c>
      <c r="H377" s="7">
        <f t="shared" si="190"/>
        <v>3.22</v>
      </c>
      <c r="I377" s="7">
        <f t="shared" si="190"/>
        <v>2000</v>
      </c>
      <c r="J377" s="7">
        <f t="shared" si="190"/>
        <v>6015.13</v>
      </c>
      <c r="K377" s="7">
        <f t="shared" si="190"/>
        <v>2962.73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80">
      <c r="A380" s="3" t="s">
        <v>0</v>
      </c>
      <c r="B380" s="12">
        <f>B366+1</f>
        <v>46019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 t="s">
        <v>1</v>
      </c>
      <c r="C381" s="3" t="s">
        <v>2</v>
      </c>
      <c r="D381" s="3" t="s">
        <v>3</v>
      </c>
      <c r="E381" s="3" t="s">
        <v>4</v>
      </c>
      <c r="F381" s="3" t="s">
        <v>5</v>
      </c>
      <c r="G381" s="3" t="s">
        <v>6</v>
      </c>
      <c r="H381" s="3" t="s">
        <v>7</v>
      </c>
      <c r="I381" s="3" t="s">
        <v>8</v>
      </c>
      <c r="J381" s="3" t="s">
        <v>9</v>
      </c>
      <c r="K381" s="3" t="s">
        <v>10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tr">
        <f t="shared" ref="A382:A390" si="191">A368</f>
        <v>Mónica</v>
      </c>
      <c r="B382" s="11">
        <v>632.2</v>
      </c>
      <c r="C382" s="11">
        <v>5.0</v>
      </c>
      <c r="D382" s="11">
        <v>3508.33</v>
      </c>
      <c r="E382" s="11">
        <v>3508.33</v>
      </c>
      <c r="F382" s="3"/>
      <c r="G382" s="7">
        <f t="shared" ref="G382:G390" si="192">D382-E382</f>
        <v>0</v>
      </c>
      <c r="H382" s="7">
        <f t="shared" ref="H382:H390" si="193">G382+F382</f>
        <v>0</v>
      </c>
      <c r="I382" s="7">
        <f t="shared" ref="I382:I390" si="194">C382*500</f>
        <v>2500</v>
      </c>
      <c r="J382" s="7">
        <f t="shared" ref="J382:J390" si="195">I382+E382+B382</f>
        <v>6640.53</v>
      </c>
      <c r="K382" s="7">
        <f t="shared" ref="K382:K390" si="196">I382+B382</f>
        <v>3132.2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tr">
        <f t="shared" si="191"/>
        <v>Dani</v>
      </c>
      <c r="B383" s="3"/>
      <c r="C383" s="3"/>
      <c r="D383" s="3"/>
      <c r="E383" s="3"/>
      <c r="F383" s="3"/>
      <c r="G383" s="7">
        <f t="shared" si="192"/>
        <v>0</v>
      </c>
      <c r="H383" s="7">
        <f t="shared" si="193"/>
        <v>0</v>
      </c>
      <c r="I383" s="7">
        <f t="shared" si="194"/>
        <v>0</v>
      </c>
      <c r="J383" s="7">
        <f t="shared" si="195"/>
        <v>0</v>
      </c>
      <c r="K383" s="7">
        <f t="shared" si="196"/>
        <v>0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tr">
        <f t="shared" si="191"/>
        <v>Sol </v>
      </c>
      <c r="B384" s="3"/>
      <c r="C384" s="3"/>
      <c r="D384" s="3"/>
      <c r="E384" s="3"/>
      <c r="F384" s="3"/>
      <c r="G384" s="7">
        <f t="shared" si="192"/>
        <v>0</v>
      </c>
      <c r="H384" s="7">
        <f t="shared" si="193"/>
        <v>0</v>
      </c>
      <c r="I384" s="7">
        <f t="shared" si="194"/>
        <v>0</v>
      </c>
      <c r="J384" s="7">
        <f t="shared" si="195"/>
        <v>0</v>
      </c>
      <c r="K384" s="7">
        <f t="shared" si="196"/>
        <v>0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 t="str">
        <f t="shared" si="191"/>
        <v>Katherine </v>
      </c>
      <c r="B385" s="3"/>
      <c r="C385" s="3"/>
      <c r="D385" s="3"/>
      <c r="E385" s="3"/>
      <c r="F385" s="3"/>
      <c r="G385" s="7">
        <f t="shared" si="192"/>
        <v>0</v>
      </c>
      <c r="H385" s="7">
        <f t="shared" si="193"/>
        <v>0</v>
      </c>
      <c r="I385" s="7">
        <f t="shared" si="194"/>
        <v>0</v>
      </c>
      <c r="J385" s="7">
        <f t="shared" si="195"/>
        <v>0</v>
      </c>
      <c r="K385" s="7">
        <f t="shared" si="196"/>
        <v>0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 t="str">
        <f t="shared" si="191"/>
        <v>Luisa </v>
      </c>
      <c r="B386" s="3"/>
      <c r="C386" s="3"/>
      <c r="D386" s="3"/>
      <c r="E386" s="3"/>
      <c r="F386" s="3"/>
      <c r="G386" s="7">
        <f t="shared" si="192"/>
        <v>0</v>
      </c>
      <c r="H386" s="7">
        <f t="shared" si="193"/>
        <v>0</v>
      </c>
      <c r="I386" s="7">
        <f t="shared" si="194"/>
        <v>0</v>
      </c>
      <c r="J386" s="7">
        <f t="shared" si="195"/>
        <v>0</v>
      </c>
      <c r="K386" s="7">
        <f t="shared" si="196"/>
        <v>0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 t="str">
        <f t="shared" si="191"/>
        <v>Andrea</v>
      </c>
      <c r="B387" s="3"/>
      <c r="C387" s="3"/>
      <c r="D387" s="3"/>
      <c r="E387" s="3"/>
      <c r="F387" s="3"/>
      <c r="G387" s="7">
        <f t="shared" si="192"/>
        <v>0</v>
      </c>
      <c r="H387" s="7">
        <f t="shared" si="193"/>
        <v>0</v>
      </c>
      <c r="I387" s="7">
        <f t="shared" si="194"/>
        <v>0</v>
      </c>
      <c r="J387" s="7">
        <f t="shared" si="195"/>
        <v>0</v>
      </c>
      <c r="K387" s="7">
        <f t="shared" si="196"/>
        <v>0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 t="str">
        <f t="shared" si="191"/>
        <v>Miriam</v>
      </c>
      <c r="B388" s="3"/>
      <c r="C388" s="3"/>
      <c r="D388" s="3"/>
      <c r="E388" s="3"/>
      <c r="F388" s="3"/>
      <c r="G388" s="7">
        <f t="shared" si="192"/>
        <v>0</v>
      </c>
      <c r="H388" s="7">
        <f t="shared" si="193"/>
        <v>0</v>
      </c>
      <c r="I388" s="7">
        <f t="shared" si="194"/>
        <v>0</v>
      </c>
      <c r="J388" s="7">
        <f t="shared" si="195"/>
        <v>0</v>
      </c>
      <c r="K388" s="7">
        <f t="shared" si="196"/>
        <v>0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tr">
        <f t="shared" si="191"/>
        <v>Kevin</v>
      </c>
      <c r="B389" s="3"/>
      <c r="C389" s="3"/>
      <c r="D389" s="3"/>
      <c r="E389" s="3"/>
      <c r="F389" s="3"/>
      <c r="G389" s="7">
        <f t="shared" si="192"/>
        <v>0</v>
      </c>
      <c r="H389" s="7">
        <f t="shared" si="193"/>
        <v>0</v>
      </c>
      <c r="I389" s="7">
        <f t="shared" si="194"/>
        <v>0</v>
      </c>
      <c r="J389" s="7">
        <f t="shared" si="195"/>
        <v>0</v>
      </c>
      <c r="K389" s="7">
        <f t="shared" si="196"/>
        <v>0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tr">
        <f t="shared" si="191"/>
        <v/>
      </c>
      <c r="B390" s="3"/>
      <c r="C390" s="3"/>
      <c r="D390" s="3"/>
      <c r="E390" s="3"/>
      <c r="F390" s="3"/>
      <c r="G390" s="7">
        <f t="shared" si="192"/>
        <v>0</v>
      </c>
      <c r="H390" s="7">
        <f t="shared" si="193"/>
        <v>0</v>
      </c>
      <c r="I390" s="7">
        <f t="shared" si="194"/>
        <v>0</v>
      </c>
      <c r="J390" s="7">
        <f t="shared" si="195"/>
        <v>0</v>
      </c>
      <c r="K390" s="7">
        <f t="shared" si="196"/>
        <v>0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">
        <f>SUM(B382:B390)</f>
        <v>632.2</v>
      </c>
      <c r="C391" s="3"/>
      <c r="D391" s="7">
        <f t="shared" ref="D391:K391" si="197">SUM(D382:D390)</f>
        <v>3508.33</v>
      </c>
      <c r="E391" s="7">
        <f t="shared" si="197"/>
        <v>3508.33</v>
      </c>
      <c r="F391" s="7">
        <f t="shared" si="197"/>
        <v>0</v>
      </c>
      <c r="G391" s="7">
        <f t="shared" si="197"/>
        <v>0</v>
      </c>
      <c r="H391" s="7">
        <f t="shared" si="197"/>
        <v>0</v>
      </c>
      <c r="I391" s="7">
        <f t="shared" si="197"/>
        <v>2500</v>
      </c>
      <c r="J391" s="7">
        <f t="shared" si="197"/>
        <v>6640.53</v>
      </c>
      <c r="K391" s="7">
        <f t="shared" si="197"/>
        <v>3132.2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4">
      <c r="A394" s="3" t="s">
        <v>0</v>
      </c>
      <c r="B394" s="12">
        <f>B380+1</f>
        <v>46020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 t="s">
        <v>1</v>
      </c>
      <c r="C395" s="3" t="s">
        <v>2</v>
      </c>
      <c r="D395" s="3" t="s">
        <v>3</v>
      </c>
      <c r="E395" s="3" t="s">
        <v>4</v>
      </c>
      <c r="F395" s="3" t="s">
        <v>5</v>
      </c>
      <c r="G395" s="3" t="s">
        <v>6</v>
      </c>
      <c r="H395" s="3" t="s">
        <v>7</v>
      </c>
      <c r="I395" s="3" t="s">
        <v>8</v>
      </c>
      <c r="J395" s="3" t="s">
        <v>9</v>
      </c>
      <c r="K395" s="3" t="s">
        <v>10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tr">
        <f t="shared" ref="A396:A404" si="198">A382</f>
        <v>Mónica</v>
      </c>
      <c r="B396" s="3"/>
      <c r="C396" s="3"/>
      <c r="D396" s="3"/>
      <c r="E396" s="3"/>
      <c r="F396" s="3"/>
      <c r="G396" s="7">
        <f t="shared" ref="G396:G404" si="199">D396-E396</f>
        <v>0</v>
      </c>
      <c r="H396" s="7">
        <f t="shared" ref="H396:H404" si="200">G396+F396</f>
        <v>0</v>
      </c>
      <c r="I396" s="7">
        <f t="shared" ref="I396:I404" si="201">C396*500</f>
        <v>0</v>
      </c>
      <c r="J396" s="7">
        <f t="shared" ref="J396:J404" si="202">I396+E396+B396</f>
        <v>0</v>
      </c>
      <c r="K396" s="7">
        <f t="shared" ref="K396:K404" si="203">I396+B396</f>
        <v>0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tr">
        <f t="shared" si="198"/>
        <v>Dani</v>
      </c>
      <c r="B397" s="7">
        <v>173.51</v>
      </c>
      <c r="C397" s="7">
        <v>2.0</v>
      </c>
      <c r="D397" s="7">
        <v>1611.35</v>
      </c>
      <c r="E397" s="7">
        <v>1611.35</v>
      </c>
      <c r="F397" s="7">
        <v>-0.25</v>
      </c>
      <c r="G397" s="7">
        <f t="shared" si="199"/>
        <v>0</v>
      </c>
      <c r="H397" s="7">
        <f t="shared" si="200"/>
        <v>-0.25</v>
      </c>
      <c r="I397" s="7">
        <f t="shared" si="201"/>
        <v>1000</v>
      </c>
      <c r="J397" s="7">
        <f t="shared" si="202"/>
        <v>2784.86</v>
      </c>
      <c r="K397" s="7">
        <f t="shared" si="203"/>
        <v>1173.51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tr">
        <f t="shared" si="198"/>
        <v>Sol </v>
      </c>
      <c r="B398" s="7">
        <v>118.96</v>
      </c>
      <c r="C398" s="3"/>
      <c r="D398" s="7">
        <v>362.12</v>
      </c>
      <c r="E398" s="7">
        <v>362.12</v>
      </c>
      <c r="F398" s="7">
        <v>0.76</v>
      </c>
      <c r="G398" s="7">
        <f t="shared" si="199"/>
        <v>0</v>
      </c>
      <c r="H398" s="7">
        <f t="shared" si="200"/>
        <v>0.76</v>
      </c>
      <c r="I398" s="7">
        <f t="shared" si="201"/>
        <v>0</v>
      </c>
      <c r="J398" s="7">
        <f t="shared" si="202"/>
        <v>481.08</v>
      </c>
      <c r="K398" s="7">
        <f t="shared" si="203"/>
        <v>118.96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 t="str">
        <f t="shared" si="198"/>
        <v>Katherine </v>
      </c>
      <c r="B399" s="3"/>
      <c r="C399" s="3"/>
      <c r="D399" s="3"/>
      <c r="E399" s="3"/>
      <c r="F399" s="3"/>
      <c r="G399" s="7">
        <f t="shared" si="199"/>
        <v>0</v>
      </c>
      <c r="H399" s="7">
        <f t="shared" si="200"/>
        <v>0</v>
      </c>
      <c r="I399" s="7">
        <f t="shared" si="201"/>
        <v>0</v>
      </c>
      <c r="J399" s="7">
        <f t="shared" si="202"/>
        <v>0</v>
      </c>
      <c r="K399" s="7">
        <f t="shared" si="203"/>
        <v>0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 t="str">
        <f t="shared" si="198"/>
        <v>Luisa </v>
      </c>
      <c r="B400" s="3"/>
      <c r="C400" s="3"/>
      <c r="D400" s="3"/>
      <c r="E400" s="3"/>
      <c r="F400" s="3"/>
      <c r="G400" s="7">
        <f t="shared" si="199"/>
        <v>0</v>
      </c>
      <c r="H400" s="7">
        <f t="shared" si="200"/>
        <v>0</v>
      </c>
      <c r="I400" s="7">
        <f t="shared" si="201"/>
        <v>0</v>
      </c>
      <c r="J400" s="7">
        <f t="shared" si="202"/>
        <v>0</v>
      </c>
      <c r="K400" s="7">
        <f t="shared" si="203"/>
        <v>0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 t="str">
        <f t="shared" si="198"/>
        <v>Andrea</v>
      </c>
      <c r="B401" s="7">
        <v>131.0</v>
      </c>
      <c r="C401" s="3"/>
      <c r="D401" s="7">
        <v>1685.61</v>
      </c>
      <c r="E401" s="7">
        <v>1685.61</v>
      </c>
      <c r="F401" s="7">
        <v>-6.82</v>
      </c>
      <c r="G401" s="7">
        <f t="shared" si="199"/>
        <v>0</v>
      </c>
      <c r="H401" s="7">
        <f t="shared" si="200"/>
        <v>-6.82</v>
      </c>
      <c r="I401" s="7">
        <f t="shared" si="201"/>
        <v>0</v>
      </c>
      <c r="J401" s="7">
        <f t="shared" si="202"/>
        <v>1816.61</v>
      </c>
      <c r="K401" s="7">
        <f t="shared" si="203"/>
        <v>131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 t="str">
        <f t="shared" si="198"/>
        <v>Miriam</v>
      </c>
      <c r="B402" s="3"/>
      <c r="C402" s="3"/>
      <c r="D402" s="3"/>
      <c r="E402" s="3"/>
      <c r="F402" s="3"/>
      <c r="G402" s="7">
        <f t="shared" si="199"/>
        <v>0</v>
      </c>
      <c r="H402" s="7">
        <f t="shared" si="200"/>
        <v>0</v>
      </c>
      <c r="I402" s="7">
        <f t="shared" si="201"/>
        <v>0</v>
      </c>
      <c r="J402" s="7">
        <f t="shared" si="202"/>
        <v>0</v>
      </c>
      <c r="K402" s="7">
        <f t="shared" si="203"/>
        <v>0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tr">
        <f t="shared" si="198"/>
        <v>Kevin</v>
      </c>
      <c r="B403" s="3"/>
      <c r="C403" s="3"/>
      <c r="D403" s="3"/>
      <c r="E403" s="3"/>
      <c r="F403" s="3"/>
      <c r="G403" s="7">
        <f t="shared" si="199"/>
        <v>0</v>
      </c>
      <c r="H403" s="7">
        <f t="shared" si="200"/>
        <v>0</v>
      </c>
      <c r="I403" s="7">
        <f t="shared" si="201"/>
        <v>0</v>
      </c>
      <c r="J403" s="7">
        <f t="shared" si="202"/>
        <v>0</v>
      </c>
      <c r="K403" s="7">
        <f t="shared" si="203"/>
        <v>0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tr">
        <f t="shared" si="198"/>
        <v/>
      </c>
      <c r="B404" s="3"/>
      <c r="C404" s="3"/>
      <c r="D404" s="3"/>
      <c r="E404" s="3"/>
      <c r="F404" s="3"/>
      <c r="G404" s="7">
        <f t="shared" si="199"/>
        <v>0</v>
      </c>
      <c r="H404" s="7">
        <f t="shared" si="200"/>
        <v>0</v>
      </c>
      <c r="I404" s="7">
        <f t="shared" si="201"/>
        <v>0</v>
      </c>
      <c r="J404" s="7">
        <f t="shared" si="202"/>
        <v>0</v>
      </c>
      <c r="K404" s="7">
        <f t="shared" si="203"/>
        <v>0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7">
        <f>SUM(B396:B404)</f>
        <v>423.47</v>
      </c>
      <c r="C405" s="3"/>
      <c r="D405" s="7">
        <f t="shared" ref="D405:K405" si="204">SUM(D396:D404)</f>
        <v>3659.08</v>
      </c>
      <c r="E405" s="7">
        <f t="shared" si="204"/>
        <v>3659.08</v>
      </c>
      <c r="F405" s="7">
        <f t="shared" si="204"/>
        <v>-6.31</v>
      </c>
      <c r="G405" s="7">
        <f t="shared" si="204"/>
        <v>0</v>
      </c>
      <c r="H405" s="7">
        <f t="shared" si="204"/>
        <v>-6.31</v>
      </c>
      <c r="I405" s="7">
        <f t="shared" si="204"/>
        <v>1000</v>
      </c>
      <c r="J405" s="7">
        <f t="shared" si="204"/>
        <v>5082.55</v>
      </c>
      <c r="K405" s="7">
        <f t="shared" si="204"/>
        <v>1423.47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8">
      <c r="A408" s="3" t="s">
        <v>0</v>
      </c>
      <c r="B408" s="12">
        <f>B394+1</f>
        <v>46021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 t="s">
        <v>1</v>
      </c>
      <c r="C409" s="3" t="s">
        <v>2</v>
      </c>
      <c r="D409" s="3" t="s">
        <v>3</v>
      </c>
      <c r="E409" s="3" t="s">
        <v>4</v>
      </c>
      <c r="F409" s="3" t="s">
        <v>5</v>
      </c>
      <c r="G409" s="3" t="s">
        <v>6</v>
      </c>
      <c r="H409" s="3" t="s">
        <v>7</v>
      </c>
      <c r="I409" s="3" t="s">
        <v>8</v>
      </c>
      <c r="J409" s="3" t="s">
        <v>9</v>
      </c>
      <c r="K409" s="3" t="s">
        <v>10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tr">
        <f t="shared" ref="A410:A418" si="205">A396</f>
        <v>Mónica</v>
      </c>
      <c r="B410" s="3"/>
      <c r="C410" s="3"/>
      <c r="D410" s="3"/>
      <c r="E410" s="3"/>
      <c r="F410" s="3"/>
      <c r="G410" s="7">
        <f t="shared" ref="G410:G418" si="206">D410-E410</f>
        <v>0</v>
      </c>
      <c r="H410" s="7">
        <f t="shared" ref="H410:H418" si="207">G410+F410</f>
        <v>0</v>
      </c>
      <c r="I410" s="7">
        <f t="shared" ref="I410:I418" si="208">C410*500</f>
        <v>0</v>
      </c>
      <c r="J410" s="7">
        <f t="shared" ref="J410:J418" si="209">I410+E410+B410</f>
        <v>0</v>
      </c>
      <c r="K410" s="7">
        <f t="shared" ref="K410:K418" si="210">I410+B410</f>
        <v>0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tr">
        <f t="shared" si="205"/>
        <v>Dani</v>
      </c>
      <c r="B411" s="7">
        <v>227.08</v>
      </c>
      <c r="C411" s="7">
        <v>2.0</v>
      </c>
      <c r="D411" s="7">
        <v>2128.85</v>
      </c>
      <c r="E411" s="7">
        <v>2128.85</v>
      </c>
      <c r="F411" s="7">
        <v>0.75</v>
      </c>
      <c r="G411" s="7">
        <f t="shared" si="206"/>
        <v>0</v>
      </c>
      <c r="H411" s="7">
        <f t="shared" si="207"/>
        <v>0.75</v>
      </c>
      <c r="I411" s="7">
        <f t="shared" si="208"/>
        <v>1000</v>
      </c>
      <c r="J411" s="7">
        <f t="shared" si="209"/>
        <v>3355.93</v>
      </c>
      <c r="K411" s="7">
        <f t="shared" si="210"/>
        <v>1227.08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tr">
        <f t="shared" si="205"/>
        <v>Sol </v>
      </c>
      <c r="B412" s="7">
        <v>152.4</v>
      </c>
      <c r="C412" s="3"/>
      <c r="D412" s="7">
        <v>167.4</v>
      </c>
      <c r="E412" s="7">
        <v>167.4</v>
      </c>
      <c r="F412" s="7">
        <v>-0.85</v>
      </c>
      <c r="G412" s="7">
        <f t="shared" si="206"/>
        <v>0</v>
      </c>
      <c r="H412" s="7">
        <f t="shared" si="207"/>
        <v>-0.85</v>
      </c>
      <c r="I412" s="7">
        <f t="shared" si="208"/>
        <v>0</v>
      </c>
      <c r="J412" s="7">
        <f t="shared" si="209"/>
        <v>319.8</v>
      </c>
      <c r="K412" s="7">
        <f t="shared" si="210"/>
        <v>152.4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 t="str">
        <f t="shared" si="205"/>
        <v>Katherine </v>
      </c>
      <c r="B413" s="3"/>
      <c r="C413" s="3"/>
      <c r="D413" s="3"/>
      <c r="E413" s="3"/>
      <c r="F413" s="3"/>
      <c r="G413" s="7">
        <f t="shared" si="206"/>
        <v>0</v>
      </c>
      <c r="H413" s="7">
        <f t="shared" si="207"/>
        <v>0</v>
      </c>
      <c r="I413" s="7">
        <f t="shared" si="208"/>
        <v>0</v>
      </c>
      <c r="J413" s="7">
        <f t="shared" si="209"/>
        <v>0</v>
      </c>
      <c r="K413" s="7">
        <f t="shared" si="210"/>
        <v>0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 t="str">
        <f t="shared" si="205"/>
        <v>Luisa </v>
      </c>
      <c r="B414" s="3"/>
      <c r="C414" s="3"/>
      <c r="D414" s="3"/>
      <c r="E414" s="3"/>
      <c r="F414" s="3"/>
      <c r="G414" s="7">
        <f t="shared" si="206"/>
        <v>0</v>
      </c>
      <c r="H414" s="7">
        <f t="shared" si="207"/>
        <v>0</v>
      </c>
      <c r="I414" s="7">
        <f t="shared" si="208"/>
        <v>0</v>
      </c>
      <c r="J414" s="7">
        <f t="shared" si="209"/>
        <v>0</v>
      </c>
      <c r="K414" s="7">
        <f t="shared" si="210"/>
        <v>0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 t="str">
        <f t="shared" si="205"/>
        <v>Andrea</v>
      </c>
      <c r="B415" s="7">
        <v>396.74</v>
      </c>
      <c r="C415" s="7">
        <v>2.0</v>
      </c>
      <c r="D415" s="7">
        <v>1983.4</v>
      </c>
      <c r="E415" s="7">
        <v>1983.4</v>
      </c>
      <c r="F415" s="7">
        <v>0.33</v>
      </c>
      <c r="G415" s="7">
        <f t="shared" si="206"/>
        <v>0</v>
      </c>
      <c r="H415" s="7">
        <f t="shared" si="207"/>
        <v>0.33</v>
      </c>
      <c r="I415" s="7">
        <f t="shared" si="208"/>
        <v>1000</v>
      </c>
      <c r="J415" s="7">
        <f t="shared" si="209"/>
        <v>3380.14</v>
      </c>
      <c r="K415" s="7">
        <f t="shared" si="210"/>
        <v>1396.74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 t="str">
        <f t="shared" si="205"/>
        <v>Miriam</v>
      </c>
      <c r="B416" s="3"/>
      <c r="C416" s="3"/>
      <c r="D416" s="3"/>
      <c r="E416" s="3"/>
      <c r="F416" s="3"/>
      <c r="G416" s="7">
        <f t="shared" si="206"/>
        <v>0</v>
      </c>
      <c r="H416" s="7">
        <f t="shared" si="207"/>
        <v>0</v>
      </c>
      <c r="I416" s="7">
        <f t="shared" si="208"/>
        <v>0</v>
      </c>
      <c r="J416" s="7">
        <f t="shared" si="209"/>
        <v>0</v>
      </c>
      <c r="K416" s="7">
        <f t="shared" si="210"/>
        <v>0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tr">
        <f t="shared" si="205"/>
        <v>Kevin</v>
      </c>
      <c r="B417" s="3"/>
      <c r="C417" s="3"/>
      <c r="D417" s="3"/>
      <c r="E417" s="3"/>
      <c r="F417" s="3"/>
      <c r="G417" s="7">
        <f t="shared" si="206"/>
        <v>0</v>
      </c>
      <c r="H417" s="7">
        <f t="shared" si="207"/>
        <v>0</v>
      </c>
      <c r="I417" s="7">
        <f t="shared" si="208"/>
        <v>0</v>
      </c>
      <c r="J417" s="7">
        <f t="shared" si="209"/>
        <v>0</v>
      </c>
      <c r="K417" s="7">
        <f t="shared" si="210"/>
        <v>0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tr">
        <f t="shared" si="205"/>
        <v/>
      </c>
      <c r="B418" s="3"/>
      <c r="C418" s="3"/>
      <c r="D418" s="3"/>
      <c r="E418" s="3"/>
      <c r="F418" s="3"/>
      <c r="G418" s="7">
        <f t="shared" si="206"/>
        <v>0</v>
      </c>
      <c r="H418" s="7">
        <f t="shared" si="207"/>
        <v>0</v>
      </c>
      <c r="I418" s="7">
        <f t="shared" si="208"/>
        <v>0</v>
      </c>
      <c r="J418" s="7">
        <f t="shared" si="209"/>
        <v>0</v>
      </c>
      <c r="K418" s="7">
        <f t="shared" si="210"/>
        <v>0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7">
        <f>SUM(B410:B418)</f>
        <v>776.22</v>
      </c>
      <c r="C419" s="3"/>
      <c r="D419" s="7">
        <f t="shared" ref="D419:K419" si="211">SUM(D410:D418)</f>
        <v>4279.65</v>
      </c>
      <c r="E419" s="7">
        <f t="shared" si="211"/>
        <v>4279.65</v>
      </c>
      <c r="F419" s="7">
        <f t="shared" si="211"/>
        <v>0.23</v>
      </c>
      <c r="G419" s="7">
        <f t="shared" si="211"/>
        <v>0</v>
      </c>
      <c r="H419" s="7">
        <f t="shared" si="211"/>
        <v>0.23</v>
      </c>
      <c r="I419" s="7">
        <f t="shared" si="211"/>
        <v>2000</v>
      </c>
      <c r="J419" s="7">
        <f t="shared" si="211"/>
        <v>7055.87</v>
      </c>
      <c r="K419" s="7">
        <f t="shared" si="211"/>
        <v>2776.22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2">
      <c r="A422" s="3" t="s">
        <v>0</v>
      </c>
      <c r="B422" s="12">
        <f>B408+1</f>
        <v>46022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 t="s">
        <v>1</v>
      </c>
      <c r="C423" s="3" t="s">
        <v>2</v>
      </c>
      <c r="D423" s="3" t="s">
        <v>3</v>
      </c>
      <c r="E423" s="3" t="s">
        <v>4</v>
      </c>
      <c r="F423" s="3" t="s">
        <v>5</v>
      </c>
      <c r="G423" s="3" t="s">
        <v>6</v>
      </c>
      <c r="H423" s="3" t="s">
        <v>7</v>
      </c>
      <c r="I423" s="3" t="s">
        <v>8</v>
      </c>
      <c r="J423" s="3" t="s">
        <v>9</v>
      </c>
      <c r="K423" s="3" t="s">
        <v>10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tr">
        <f t="shared" ref="A424:A432" si="212">A410</f>
        <v>Mónica</v>
      </c>
      <c r="B424" s="4"/>
      <c r="C424" s="4"/>
      <c r="D424" s="4"/>
      <c r="E424" s="4"/>
      <c r="F424" s="4"/>
      <c r="G424" s="7">
        <f t="shared" ref="G424:G432" si="213">D424-E424</f>
        <v>0</v>
      </c>
      <c r="H424" s="7">
        <f t="shared" ref="H424:H432" si="214">G424+F424</f>
        <v>0</v>
      </c>
      <c r="I424" s="7">
        <f t="shared" ref="I424:I432" si="215">C424*500</f>
        <v>0</v>
      </c>
      <c r="J424" s="7">
        <f t="shared" ref="J424:J432" si="216">I424+E424+B424</f>
        <v>0</v>
      </c>
      <c r="K424" s="7">
        <f t="shared" ref="K424:K432" si="217">I424+B424</f>
        <v>0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tr">
        <f t="shared" si="212"/>
        <v>Dani</v>
      </c>
      <c r="B425" s="7">
        <v>139.31</v>
      </c>
      <c r="C425" s="7">
        <v>5.0</v>
      </c>
      <c r="D425" s="7">
        <v>2879.98</v>
      </c>
      <c r="E425" s="7">
        <v>2879.98</v>
      </c>
      <c r="F425" s="7">
        <v>4.43</v>
      </c>
      <c r="G425" s="7">
        <f t="shared" si="213"/>
        <v>0</v>
      </c>
      <c r="H425" s="7">
        <f t="shared" si="214"/>
        <v>4.43</v>
      </c>
      <c r="I425" s="7">
        <f t="shared" si="215"/>
        <v>2500</v>
      </c>
      <c r="J425" s="7">
        <f t="shared" si="216"/>
        <v>5519.29</v>
      </c>
      <c r="K425" s="7">
        <f t="shared" si="217"/>
        <v>2639.31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tr">
        <f t="shared" si="212"/>
        <v>Sol </v>
      </c>
      <c r="B426" s="7">
        <v>165.45</v>
      </c>
      <c r="C426" s="7">
        <v>1.0</v>
      </c>
      <c r="D426" s="7">
        <v>725.42</v>
      </c>
      <c r="E426" s="7">
        <v>725.42</v>
      </c>
      <c r="F426" s="7">
        <v>3.27</v>
      </c>
      <c r="G426" s="7">
        <f t="shared" si="213"/>
        <v>0</v>
      </c>
      <c r="H426" s="7">
        <f t="shared" si="214"/>
        <v>3.27</v>
      </c>
      <c r="I426" s="7">
        <f t="shared" si="215"/>
        <v>500</v>
      </c>
      <c r="J426" s="7">
        <f t="shared" si="216"/>
        <v>1390.87</v>
      </c>
      <c r="K426" s="7">
        <f t="shared" si="217"/>
        <v>665.45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 t="str">
        <f t="shared" si="212"/>
        <v>Katherine </v>
      </c>
      <c r="B427" s="3"/>
      <c r="C427" s="3"/>
      <c r="D427" s="3"/>
      <c r="E427" s="3"/>
      <c r="F427" s="3"/>
      <c r="G427" s="7">
        <f t="shared" si="213"/>
        <v>0</v>
      </c>
      <c r="H427" s="7">
        <f t="shared" si="214"/>
        <v>0</v>
      </c>
      <c r="I427" s="7">
        <f t="shared" si="215"/>
        <v>0</v>
      </c>
      <c r="J427" s="7">
        <f t="shared" si="216"/>
        <v>0</v>
      </c>
      <c r="K427" s="7">
        <f t="shared" si="217"/>
        <v>0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 t="str">
        <f t="shared" si="212"/>
        <v>Luisa </v>
      </c>
      <c r="B428" s="3"/>
      <c r="C428" s="3"/>
      <c r="D428" s="3"/>
      <c r="E428" s="3"/>
      <c r="F428" s="3"/>
      <c r="G428" s="7">
        <f t="shared" si="213"/>
        <v>0</v>
      </c>
      <c r="H428" s="7">
        <f t="shared" si="214"/>
        <v>0</v>
      </c>
      <c r="I428" s="7">
        <f t="shared" si="215"/>
        <v>0</v>
      </c>
      <c r="J428" s="7">
        <f t="shared" si="216"/>
        <v>0</v>
      </c>
      <c r="K428" s="7">
        <f t="shared" si="217"/>
        <v>0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 t="str">
        <f t="shared" si="212"/>
        <v>Andrea</v>
      </c>
      <c r="B429" s="11"/>
      <c r="C429" s="11"/>
      <c r="D429" s="11"/>
      <c r="E429" s="11"/>
      <c r="F429" s="3"/>
      <c r="G429" s="7">
        <f t="shared" si="213"/>
        <v>0</v>
      </c>
      <c r="H429" s="7">
        <f t="shared" si="214"/>
        <v>0</v>
      </c>
      <c r="I429" s="7">
        <f t="shared" si="215"/>
        <v>0</v>
      </c>
      <c r="J429" s="7">
        <f t="shared" si="216"/>
        <v>0</v>
      </c>
      <c r="K429" s="7">
        <f t="shared" si="217"/>
        <v>0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 t="str">
        <f t="shared" si="212"/>
        <v>Miriam</v>
      </c>
      <c r="B430" s="11"/>
      <c r="C430" s="11"/>
      <c r="D430" s="11"/>
      <c r="E430" s="11"/>
      <c r="F430" s="3"/>
      <c r="G430" s="7">
        <f t="shared" si="213"/>
        <v>0</v>
      </c>
      <c r="H430" s="7">
        <f t="shared" si="214"/>
        <v>0</v>
      </c>
      <c r="I430" s="7">
        <f t="shared" si="215"/>
        <v>0</v>
      </c>
      <c r="J430" s="7">
        <f t="shared" si="216"/>
        <v>0</v>
      </c>
      <c r="K430" s="7">
        <f t="shared" si="217"/>
        <v>0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tr">
        <f t="shared" si="212"/>
        <v>Kevin</v>
      </c>
      <c r="B431" s="3"/>
      <c r="C431" s="3"/>
      <c r="D431" s="3"/>
      <c r="E431" s="3"/>
      <c r="F431" s="3"/>
      <c r="G431" s="7">
        <f t="shared" si="213"/>
        <v>0</v>
      </c>
      <c r="H431" s="7">
        <f t="shared" si="214"/>
        <v>0</v>
      </c>
      <c r="I431" s="7">
        <f t="shared" si="215"/>
        <v>0</v>
      </c>
      <c r="J431" s="7">
        <f t="shared" si="216"/>
        <v>0</v>
      </c>
      <c r="K431" s="7">
        <f t="shared" si="217"/>
        <v>0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tr">
        <f t="shared" si="212"/>
        <v/>
      </c>
      <c r="B432" s="3"/>
      <c r="C432" s="3"/>
      <c r="D432" s="3"/>
      <c r="E432" s="3"/>
      <c r="F432" s="3"/>
      <c r="G432" s="7">
        <f t="shared" si="213"/>
        <v>0</v>
      </c>
      <c r="H432" s="7">
        <f t="shared" si="214"/>
        <v>0</v>
      </c>
      <c r="I432" s="7">
        <f t="shared" si="215"/>
        <v>0</v>
      </c>
      <c r="J432" s="7">
        <f t="shared" si="216"/>
        <v>0</v>
      </c>
      <c r="K432" s="7">
        <f t="shared" si="217"/>
        <v>0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7">
        <f>SUM(B424:B432)</f>
        <v>304.76</v>
      </c>
      <c r="C433" s="3"/>
      <c r="D433" s="7">
        <f t="shared" ref="D433:K433" si="218">SUM(D424:D432)</f>
        <v>3605.4</v>
      </c>
      <c r="E433" s="7">
        <f t="shared" si="218"/>
        <v>3605.4</v>
      </c>
      <c r="F433" s="7">
        <f t="shared" si="218"/>
        <v>7.7</v>
      </c>
      <c r="G433" s="7">
        <f t="shared" si="218"/>
        <v>0</v>
      </c>
      <c r="H433" s="7">
        <f t="shared" si="218"/>
        <v>7.7</v>
      </c>
      <c r="I433" s="7">
        <f t="shared" si="218"/>
        <v>3000</v>
      </c>
      <c r="J433" s="7">
        <f t="shared" si="218"/>
        <v>6910.16</v>
      </c>
      <c r="K433" s="7">
        <f t="shared" si="218"/>
        <v>3304.76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6">
      <c r="A436" s="18" t="s">
        <v>27</v>
      </c>
      <c r="B436" s="3"/>
      <c r="C436" s="3"/>
      <c r="D436" s="3" t="s">
        <v>28</v>
      </c>
      <c r="E436" s="7">
        <f>J13+J27+J41+J55+J69+J83+J97+J111+J125+J139+J153+J167+J181+J195+J209+J223+J237+J251+J265+J279+J293+J307+J321+J335+J349+J363+J377+J391+J405+J419+J433</f>
        <v>162528.78</v>
      </c>
      <c r="F436" s="3"/>
    </row>
    <row r="437">
      <c r="A437" s="3"/>
      <c r="B437" s="18" t="s">
        <v>29</v>
      </c>
      <c r="C437" s="3"/>
      <c r="D437" s="3" t="s">
        <v>1</v>
      </c>
      <c r="E437" s="7">
        <f>K13+K27+K41+K55+K69+K83+K97+K111+K125+K139+K153+K167+K181+K195+K209+K223+K237+K251+K265+K279+K293+K307+K321+K335+K349+K363+K377+K391+K405+K419+K433</f>
        <v>68260.52</v>
      </c>
      <c r="F437" s="3"/>
    </row>
    <row r="438">
      <c r="A438" s="3" t="s">
        <v>16</v>
      </c>
      <c r="B438" s="7">
        <f t="shared" ref="B438:B445" si="219">H4+H18+H32+H74+H88+H102+H116+H130+H144+H158+H172+H186+H200+H214+H228+H242+H256+H270+H284+H298+H312+H326+H340+H354+H368+H382+H396+H410+H424</f>
        <v>5.07</v>
      </c>
      <c r="C438" s="3"/>
      <c r="D438" s="3"/>
      <c r="E438" s="7"/>
      <c r="F438" s="3"/>
    </row>
    <row r="439">
      <c r="A439" s="3" t="s">
        <v>12</v>
      </c>
      <c r="B439" s="7">
        <f t="shared" si="219"/>
        <v>44.51</v>
      </c>
      <c r="C439" s="3"/>
      <c r="D439" s="3"/>
      <c r="E439" s="7"/>
      <c r="F439" s="7"/>
    </row>
    <row r="440">
      <c r="A440" s="3" t="s">
        <v>14</v>
      </c>
      <c r="B440" s="7">
        <f t="shared" si="219"/>
        <v>-48.19</v>
      </c>
      <c r="C440" s="3"/>
      <c r="D440" s="11" t="s">
        <v>30</v>
      </c>
      <c r="E440" s="3"/>
      <c r="F440" s="3"/>
    </row>
    <row r="441">
      <c r="A441" s="11" t="s">
        <v>31</v>
      </c>
      <c r="B441" s="7">
        <f t="shared" si="219"/>
        <v>-5.55</v>
      </c>
      <c r="C441" s="3"/>
      <c r="D441" s="3"/>
      <c r="E441" s="3"/>
      <c r="F441" s="3"/>
    </row>
    <row r="442">
      <c r="A442" s="11" t="s">
        <v>21</v>
      </c>
      <c r="B442" s="7">
        <f t="shared" si="219"/>
        <v>0</v>
      </c>
      <c r="C442" s="3"/>
      <c r="D442" s="3"/>
      <c r="E442" s="3"/>
      <c r="F442" s="3"/>
    </row>
    <row r="443">
      <c r="A443" s="11" t="s">
        <v>32</v>
      </c>
      <c r="B443" s="7">
        <f t="shared" si="219"/>
        <v>-31.47</v>
      </c>
      <c r="C443" s="3"/>
      <c r="D443" s="3"/>
      <c r="E443" s="3"/>
      <c r="F443" s="3"/>
    </row>
    <row r="444">
      <c r="A444" s="11" t="s">
        <v>33</v>
      </c>
      <c r="B444" s="7">
        <f t="shared" si="219"/>
        <v>0</v>
      </c>
      <c r="C444" s="3"/>
      <c r="D444" s="3"/>
      <c r="E444" s="3"/>
      <c r="F444" s="3"/>
    </row>
    <row r="445">
      <c r="A445" s="3"/>
      <c r="B445" s="7">
        <f t="shared" si="219"/>
        <v>0</v>
      </c>
      <c r="C445" s="3"/>
      <c r="D445" s="3"/>
      <c r="E445" s="3"/>
      <c r="F445" s="3"/>
    </row>
    <row r="446">
      <c r="A446" s="3" t="s">
        <v>34</v>
      </c>
      <c r="B446" s="7">
        <f>SUM(B438:B444)</f>
        <v>-35.63</v>
      </c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</sheetData>
  <drawing r:id="rId2"/>
  <legacyDrawing r:id="rId3"/>
</worksheet>
</file>